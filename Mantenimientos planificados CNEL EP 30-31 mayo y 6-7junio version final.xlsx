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lange.doylet\Downloads\"/>
    </mc:Choice>
  </mc:AlternateContent>
  <bookViews>
    <workbookView xWindow="0" yWindow="0" windowWidth="28800" windowHeight="12015"/>
  </bookViews>
  <sheets>
    <sheet name="Hoja1" sheetId="1" r:id="rId1"/>
  </sheets>
  <definedNames>
    <definedName name="_xlnm._FilterDatabase" localSheetId="0" hidden="1">Hoja1!$A$1:$W$37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0" i="1" l="1"/>
  <c r="V40" i="1" s="1"/>
  <c r="V38" i="1"/>
  <c r="V39" i="1"/>
</calcChain>
</file>

<file path=xl/sharedStrings.xml><?xml version="1.0" encoding="utf-8"?>
<sst xmlns="http://schemas.openxmlformats.org/spreadsheetml/2006/main" count="368" uniqueCount="195">
  <si>
    <t>Empresa</t>
  </si>
  <si>
    <t>PROYECTO O DESCRIPCIÓN DE LOS TRABAJOS</t>
  </si>
  <si>
    <t>LINEA DE SUBTRANSMISIÓN</t>
  </si>
  <si>
    <t>S/E</t>
  </si>
  <si>
    <t>ALIMENTADOR</t>
  </si>
  <si>
    <t>PROVINCIA</t>
  </si>
  <si>
    <t>CANTON</t>
  </si>
  <si>
    <t>CODIGO GIS</t>
  </si>
  <si>
    <t>Desconexiones Programadas</t>
  </si>
  <si>
    <t>MW (Desconectados)</t>
  </si>
  <si>
    <t>Fecha de Inicio</t>
  </si>
  <si>
    <t>Hora inicio</t>
  </si>
  <si>
    <t>Fecha de Fin</t>
  </si>
  <si>
    <t>Hora fin</t>
  </si>
  <si>
    <t>$ Valoración de los trabajos (materiales + Mano de obra)</t>
  </si>
  <si>
    <t>Presupuesto requerido $</t>
  </si>
  <si>
    <t>Justificación del horario de ejecución</t>
  </si>
  <si>
    <t>ETAPA FUNCIONAL</t>
  </si>
  <si>
    <t>Clientes
Afectados</t>
  </si>
  <si>
    <t>Clientes Totales</t>
  </si>
  <si>
    <t>Energía kW-h (por desconexión)}</t>
  </si>
  <si>
    <t>USD energia (por desconexión)</t>
  </si>
  <si>
    <t>CNEL BOLIVAR</t>
  </si>
  <si>
    <t>CAMBIO DE TRANSFORMADOR PADMOUNTED DE SERVICIOS AUXILIARES / PRUEBAS ELÉCTRICAS DEL TRANSFORMADOR DE POTENCIA</t>
  </si>
  <si>
    <t>03_03_ECHEANDIA</t>
  </si>
  <si>
    <t>BOLIVAR</t>
  </si>
  <si>
    <t>ECHEANDIA, LAS NAVES</t>
  </si>
  <si>
    <t>03EC03</t>
  </si>
  <si>
    <t>Trabajos Preventivos</t>
  </si>
  <si>
    <t>SUBESTACIÓN</t>
  </si>
  <si>
    <t>CONSTRUCCION DE RED DE MEDIO VOLTAJE Y MONTAJE DE TRANSFORMADOR</t>
  </si>
  <si>
    <t>03_03_Echeandia 1</t>
  </si>
  <si>
    <t>ECHEANDIA</t>
  </si>
  <si>
    <t>03EC030T13</t>
  </si>
  <si>
    <t>Ingreso nuevas cargas</t>
  </si>
  <si>
    <t>CNEL EL ORO</t>
  </si>
  <si>
    <t>CAMBIO DE BARRAS 15KV EN TABLERO DE DISTRIBUCIÓN SUBTERRÁNEO</t>
  </si>
  <si>
    <t>EL SOL</t>
  </si>
  <si>
    <t>EL ORO</t>
  </si>
  <si>
    <t>MACHALA</t>
  </si>
  <si>
    <t>07MA040T15</t>
  </si>
  <si>
    <t>Trabajos Correctivos</t>
  </si>
  <si>
    <t>Zona urbana- residencial</t>
  </si>
  <si>
    <t>CONEXIÓN DE EQUIPOS PARA NUEVO ALIMENTADOR DE MEDIA TENSIÓN</t>
  </si>
  <si>
    <t>BALAO</t>
  </si>
  <si>
    <t>GUAYAS</t>
  </si>
  <si>
    <t>07BL13</t>
  </si>
  <si>
    <t>Horario de menor impacto en la demanda</t>
  </si>
  <si>
    <t>MNTTO EN ALIMENTADOR PRIMARIO (CAMBIO DE POSTES Y ESTRUCTURAS, LIMPIEZA DE VEGETACIÓN)</t>
  </si>
  <si>
    <t>CETEORO</t>
  </si>
  <si>
    <t>07PI060T14</t>
  </si>
  <si>
    <t>MNTTO EN ALIMENTADOR PRIMARIO (MANTENIMIENTO A GABINETES DE DISTRIBUCIÓN) - CAMBIO DE SECCIONADORES EN TRANSICIÓN</t>
  </si>
  <si>
    <t>ARÍZAGA</t>
  </si>
  <si>
    <t>07MC080T13</t>
  </si>
  <si>
    <t>MNTTO EN ALIMENTADOR PRIMARIO (MANTENIMIENTO A GABINETES DE DISTRIBUCIÓN) - INSTALACIÓN DE CUCHILLAS EN TRANSICIÓN</t>
  </si>
  <si>
    <t>FYBECA</t>
  </si>
  <si>
    <t>CNEL GUAYAS LOS RIOS</t>
  </si>
  <si>
    <t>CONEXIÓN DE ACOMETIDAS DE 69 KV PARA ENERGIZACIÓN EN VACÍO DEL TRANSFORMADOR EN PEDRO CARBO DE NUEVO TRANSFORMADOR DE POTENCIA, PARA LIBERAR SUBESTACIÓN MÓVIL</t>
  </si>
  <si>
    <t>PEDRO CARBO</t>
  </si>
  <si>
    <t>Guayas</t>
  </si>
  <si>
    <t>Pedro Carbo</t>
  </si>
  <si>
    <t>09PC09</t>
  </si>
  <si>
    <t>MENOR IMPACTO EN MADRUGADA</t>
  </si>
  <si>
    <t>- CAMBIO DE TOPOLOGÍA LT1, LT2
 - INGRESO A BAHÍA LT1 CON NUEVA LÍNEA
 - TENDIDO DE GUARDA HACIA S/E CATALUÑA
 - DESMONTAJE DE SECCIONADOR EXISTENTE LT1
 - READECUACIÓN PARA CAMBIO EN LA CONEXIÓN A S/E MÓVIL CELEC
 - SECCIONAMENTO DE LÍNEA EXISTENTE DAULE-JB AGUIRRE</t>
  </si>
  <si>
    <t>DESCONEXIÓN DE LAS LÍNEAS LT1, LT2, LT3, LT4, LT5, MOVIL DE LA SUBESTACIÓN DOS CERRITOS SNT.</t>
  </si>
  <si>
    <t>Daule, Salitre, Palestina, Balzar, Colimes, Santa Lucía, Samborondón</t>
  </si>
  <si>
    <t>LST</t>
  </si>
  <si>
    <t>Ingreso Nuevas Cargas</t>
  </si>
  <si>
    <t>INTERCONEXION DE LA NUEVA LINEA DE SUBTRANSMISION BUENA FE PRONACA</t>
  </si>
  <si>
    <t>BUENA FE - PRONACA</t>
  </si>
  <si>
    <t>BUENA FE</t>
  </si>
  <si>
    <t>Los Ríos</t>
  </si>
  <si>
    <t>Buena Fe</t>
  </si>
  <si>
    <t>PARA REALIZAR LOS TRABAJOS SE REQUIERE LA LUZ DEL DÍA DEBIDO A QUE NO SE CUENTA CON SUFICIENTE ILUMINACION PARA REALIZAR LOS TRABAJOS EN REDES DE ALTA TENSIÓN</t>
  </si>
  <si>
    <t>'- CAMBIO DE TOPOLOGÍA LT5
- COMPLETAR INGRESO A BAHÍA LT1 CON NUEVA LÍNEA
- PUESTA EN OPERACIÓN NUEVO SECCIONADOR LT1
- SECCIONAMENTO DE LÍNEA EXISTENTE DAULE-JB AGUIRRE
- ENERGIZACIÓN DE NUEVA LT1 Y TOMA DE CARGA</t>
  </si>
  <si>
    <t>DESCONEXIÓN DE LA LÍNEA LT5 DE LA SUBESTACIÓN DOS CERRITOS SNT.</t>
  </si>
  <si>
    <t>Daule, Salitre, Palestina, Balzar, Colimes, Santa Lucía</t>
  </si>
  <si>
    <t>SECTOR ARROCERO, DAULE SANTA LUCIA PALESTINA</t>
  </si>
  <si>
    <t>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t>
  </si>
  <si>
    <t>EL RECREO</t>
  </si>
  <si>
    <t>Durán</t>
  </si>
  <si>
    <t>09ER21</t>
  </si>
  <si>
    <t>CNEL LOS RIOS</t>
  </si>
  <si>
    <t>CAMBIO DE CONDUCTOR AISLADO SOTERRADO EN LAS SALIDAS DE LOS ALIMENTADORES VINCES CENTRO, VINCES SUR Y ANTONIO SOTOMAYOR, POR DESGASTE EN EL AISLAMIENTO DE LOS CONDUCTORES.</t>
  </si>
  <si>
    <t>VINCES</t>
  </si>
  <si>
    <t>LOS RIOS</t>
  </si>
  <si>
    <t>VINCES, BABA</t>
  </si>
  <si>
    <t>10VI08</t>
  </si>
  <si>
    <t>SE PLANTEA EL HORARIO MOSTRADO DEBIDO AL TOQUE DE QUEDA QUE CULMINA 05H00 Y LA SE VINCES ESTA A 45 MINUTOS DE DISTANCIA DE DONDE SALE EL PERSONAL Y EL TRASLADO HACIA LA SE EN HORAS DE LA MADRUGADA ES ALTAMENTE PELIGROSO</t>
  </si>
  <si>
    <t>CORRECCIÓN DE PUNTOS CALIENTES EN BUSHINGS DEL TRANSFORMADOR DE POTENCIA Y EN SECCIONAMIENTOS A NIVEL DE 13,8KV</t>
  </si>
  <si>
    <t>CEDEGE</t>
  </si>
  <si>
    <t>BABAHOYO, MONTALVO</t>
  </si>
  <si>
    <t>10CE03</t>
  </si>
  <si>
    <t>SE PLANTEA EL HORARIO MOSTRADO DEBIDO AL TOQUE DE QUEDA QUE CULMINA 05H00 Y LA SE CEDEGE ESTA A 25 MINUTOS DE DISTANCIA DE DONDE SALE EL PERSONAL Y EL TRASLADO HACIA LA SE EN HORAS DE LA MADRUGADA ES ALTAMENTE PELIGROSO</t>
  </si>
  <si>
    <t>CNEL MANABÍ</t>
  </si>
  <si>
    <t>Cambio de aisladores, desbroce, reubicacion de postes</t>
  </si>
  <si>
    <t>ROCAFUERTE - CRUCITA</t>
  </si>
  <si>
    <t>MANABI</t>
  </si>
  <si>
    <t>PORTOVIEJO</t>
  </si>
  <si>
    <t>Trabajos seran realizados en zona montañosa y de dificil acceso, por esta razon se requiere tener visibilidad en lostrabajos e ingreso a los puntos</t>
  </si>
  <si>
    <t>CNEL MILAGRO</t>
  </si>
  <si>
    <t>ANOMALÍAS TÉRMICAS EN EL RECONECTADOR DE CABECERA VILLANUEVA 2, DISYUNTOR LLEGADA PUERTO INCA, SALIDA BALAO 4, DESBROCE VEGETACIÓN A NIVEL DE DISTRIBUCIÓN 13,8kV</t>
  </si>
  <si>
    <t>NARANJAL</t>
  </si>
  <si>
    <t>12NA09</t>
  </si>
  <si>
    <t>SECTORES RURALES ALEJADOS DE LA CIUDAD,ZONA PELIGROSA</t>
  </si>
  <si>
    <t>ANOMALÍAS TÉRMICAS EN ENTRADA AL SECCIONADOR DE BARRA FASE C Y EN SALIDA DEL SECCIONADOR DE BARRA FASE A</t>
  </si>
  <si>
    <t>MILAGRO SUR</t>
  </si>
  <si>
    <t>MILAGRO</t>
  </si>
  <si>
    <t>12MS13</t>
  </si>
  <si>
    <t>ANOMALÍAS TÉRMICAS EN RECONECTADOR DE BARRAS, CT´S DE BARRAS, CAMBIO DE CONFIGURACIÓN DE ESTRUCTURAS EN POSTES ALEJADOS DE LA CARRETERA</t>
  </si>
  <si>
    <t>CHOBO</t>
  </si>
  <si>
    <t>12CH16</t>
  </si>
  <si>
    <t>SECTORES RURALES ALEJADOS DE LA CIUDAD, ZONA PELIGROSA</t>
  </si>
  <si>
    <t>CNEL SUCUMBÍOS</t>
  </si>
  <si>
    <t>CAMBIO DE CADENA DE AISLADORES EN FASE MEDIA, ESTRUCTURA N.º 102: POSTE DE HORMIGÓN EN SUSPENSIÓN</t>
  </si>
  <si>
    <t>JIVINO - SACHA</t>
  </si>
  <si>
    <t>Orellana</t>
  </si>
  <si>
    <t>Joya de los Sachas</t>
  </si>
  <si>
    <t>TRANSFERENCIA DE CARGA, AL CULMINAR LOS TRABAJOS SE DESCONECTA TODA LA CARGA POR 5 MIN APROXIMADAMENTE</t>
  </si>
  <si>
    <t>CAMBIO DE POSTE DE HORMIGÓN EN MAL ESTADO DE 12 METROS</t>
  </si>
  <si>
    <t>VIA JIVINO</t>
  </si>
  <si>
    <t>Sucumbíos</t>
  </si>
  <si>
    <t>Lago Agrio</t>
  </si>
  <si>
    <t>20LG010T14</t>
  </si>
  <si>
    <t>CORRECCIÓN DE PUNTO CALIENTE EN BARRAS DE 69 KV</t>
  </si>
  <si>
    <t>03_04_COCHABAMBA</t>
  </si>
  <si>
    <t>SAN MIGUEL, CHILLANES</t>
  </si>
  <si>
    <t>03CO04</t>
  </si>
  <si>
    <t>ATAHUALPA</t>
  </si>
  <si>
    <t>07PO100T25</t>
  </si>
  <si>
    <t>Zona alta de la provincia, en la madrugada se presentan condiciones climáticas adversas, se considera el tiempo de traslada hacia los sitios de trabajo</t>
  </si>
  <si>
    <t>CORDÓN FRONTERIZO</t>
  </si>
  <si>
    <t>ARENILLAS</t>
  </si>
  <si>
    <t>07AR090T13</t>
  </si>
  <si>
    <t>En la madrugada se presentan condiciones climáticas adversas, se considera el tiempo de traslada hacia los sitios de trabajo</t>
  </si>
  <si>
    <t>BARBONES TENDALES</t>
  </si>
  <si>
    <t>EL GUABO</t>
  </si>
  <si>
    <t>07BA020T11</t>
  </si>
  <si>
    <t>Sector con alto nivel de inseguridad, se considera el tiempo de traslada hacia los sitios de trabajo</t>
  </si>
  <si>
    <t>MNTTO EN ALIMENTADOR PRIMARIO (RECONFIGURACIÓN DE LINEA DE MV, CAMBIO DE ESTRUCTURAS)</t>
  </si>
  <si>
    <t>ZARUMA</t>
  </si>
  <si>
    <t>07PO100T11</t>
  </si>
  <si>
    <t>CNEL ESMERALDAS</t>
  </si>
  <si>
    <t>TRABAJO CONTRTADO MANTENIMIENTO DE TRANSFORMADOR DE POTENCIA EN FRÍO (pruebas electricas, ajuste de terminales, pernos conexiones, pintura etc.) Subestación Viche</t>
  </si>
  <si>
    <t>VICHE</t>
  </si>
  <si>
    <t>ESMERALDAS</t>
  </si>
  <si>
    <t>QUININDE</t>
  </si>
  <si>
    <t>08VI15</t>
  </si>
  <si>
    <t>HORARIO DE MENOR IMPACTO HACIA LOS USUARIOS POR DESLASTRE DE CARGA EN DEMANDA MINIMA</t>
  </si>
  <si>
    <t>TRABAJOS DE MANTENIMIENTO PROGRAMADO LST PRADERA - ATACAMES, TRABAJOS DESBROCE DE VEGETACION Y TALA DE ARBOLES CERCANOS A LA RED</t>
  </si>
  <si>
    <t>PRADERA - ATACAMES</t>
  </si>
  <si>
    <t>ATACAMES</t>
  </si>
  <si>
    <t>TOMA DE CARGA DEL TRANSFORMADOR DE NUEVO TRANSFORMADOR DE POTENCIA EN PEDRO CARBO, PARA LIBERAR SUBESTACIÓN MÓVIL</t>
  </si>
  <si>
    <t>DESCONEXIÓN CNEL 2, CNEL 3, CNEL 4 PARA CAMBIO DE TOPOLOGIA Y REPOTENCIACIÓN DE LÍNEA DE SUBTRANSMIÓN HOSPITAL DURÁN - DURÁN SUR</t>
  </si>
  <si>
    <t>CNEL 2, CNEL 3, CNEL 4</t>
  </si>
  <si>
    <t>CAMBIO DE SECCIONADORES TIPO TANDEM DEL ALIMENTADOR PROGRESO EN MAL ESTADO, CAMBIO DE SECCIONADOR DEL TRANSFORAMDOR DE SERVICIOS AUXILIARES, CORRECCIÓN DE FUGA DE ACEITE EN TRANSFORMADOR DE POTENCIA, LLENADO DE GAS SF6 EN INTERRUPTOR PRINCIPAL DEL TRANSFORMADOR DE POTENCIA</t>
  </si>
  <si>
    <t>BABA</t>
  </si>
  <si>
    <t>10BA05</t>
  </si>
  <si>
    <t>SE PLANTEA EL HORARIO MOSTRADO DEBIDO AL TOQUE DE QUEDA QUE CULMINA 05H00 Y LA SE BABA ESTA A 30 MINUTOS DE DISTANCIA DE DONDE SALE EL PERSONAL Y EL TRASLADO HACIA LA SE EN HORAS DE LA MADRUGADA ES ALTAMENTE PELIGROSO</t>
  </si>
  <si>
    <t>Cambio de poste, aisladores y desbroce</t>
  </si>
  <si>
    <t>MANTA 4</t>
  </si>
  <si>
    <t>No 42</t>
  </si>
  <si>
    <t>MANTA</t>
  </si>
  <si>
    <t>11M4150T11</t>
  </si>
  <si>
    <t>Horario de menora afectación</t>
  </si>
  <si>
    <t>ANOMALÍAS TÉRMICAS EN CT DE BARRA,INTERRUPTOR Y SECCIONADOR DE BARRA 13,8kV, MONTAJE DE NUEVOS CT´S PARA MEDICIÓN Y PROTECCIÓN, REAJUSTE EN RECONECTADORES DE SALIDAS</t>
  </si>
  <si>
    <t>CENTRAL DIESEL</t>
  </si>
  <si>
    <t>12DI14</t>
  </si>
  <si>
    <t>ANOMALÍAS TÉRMICAS EN SECCIONADORES DE ENTRADA ALIMENTADORES,  CAMBIO DE HERRAJES EN EQUIPOS DE SUBESTACIÓN, CAMBIO DE SECCIONADORES QUE PRESENTAN PUNTOS CALIENTES.</t>
  </si>
  <si>
    <t>MONTERO</t>
  </si>
  <si>
    <t>YAGUACHI</t>
  </si>
  <si>
    <t>12MO08</t>
  </si>
  <si>
    <t>MANTENIMIENTO PREVENTIVO DE LOS CUADROS DE 13.8KV Y 69KV EN LA S/E PAYAMINO</t>
  </si>
  <si>
    <t>PAYAMINO</t>
  </si>
  <si>
    <t>Francisco de Orellana</t>
  </si>
  <si>
    <t>20PY02</t>
  </si>
  <si>
    <t>MANTENIMIENTO AL TRANSFORMADOR DE POTENCIA, BARRAJE A 13,8KV Y CAMBIO DE INTERRUPTOR PRINCIPAL DE 13,8KV Y SECCIONAMIENTOS DE LOS ALIMENTADORES</t>
  </si>
  <si>
    <t>CENTRO INDUSTRIAL</t>
  </si>
  <si>
    <t>10CI01</t>
  </si>
  <si>
    <t>SE PLANTEA EL HORARIO MOSTRADO DEBIDO AL TOQUE DE QUEDA QUE CULMINA 05H00</t>
  </si>
  <si>
    <t>Puesta en operación del T2 en subestacion Lodana, trabajos en subtransmision de cambio de cadenas de aisladores y correccion de puntos calientes</t>
  </si>
  <si>
    <t>PORTOVIEJO CELEC L6 - LODANA</t>
  </si>
  <si>
    <t>LODANA; CAZA LAGARTO; BELLAVISTA</t>
  </si>
  <si>
    <t>REQUIEREN 10 GRUPOS DE TRABAJOS</t>
  </si>
  <si>
    <t>se requiere material</t>
  </si>
  <si>
    <t>BABAHOYO, JUJAN</t>
  </si>
  <si>
    <t>REEMPLAZO DE SECCIONADORES TRIPOLARES DE POSICIÓN DE BARRA, BARRA DE TRANSFERENCIA Y ACOPLE DE POSICIÓN PASCULAES MANGLERO</t>
  </si>
  <si>
    <t>MANGLERO</t>
  </si>
  <si>
    <t>Samborondón</t>
  </si>
  <si>
    <t>POR DESCONEXIÓN DE SUBESTACIÓN PASCUALES DE TRANSELECTRIC</t>
  </si>
  <si>
    <t>APLOME DE POSTES EN LA LLEGADA A LA SUBESTACION DAULE SUR - POSTE DONDE SE TIENE UBICADO EL SECCIONAMIENTO DE INTERCONEXION ENTRE LST DAULE Y TAP BANIFE</t>
  </si>
  <si>
    <t>TAP KUBIEC Y TAP BANIFE</t>
  </si>
  <si>
    <t>Daule</t>
  </si>
  <si>
    <t xml:space="preserve">CAMBIO DE POSTES EN MAL ESTADO </t>
  </si>
  <si>
    <t>Isidro Ayora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</si>
</sst>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quot;$&quot;* #,##0.00_ ;_ &quot;$&quot;* \-#,##0.00_ ;_ &quot;$&quot;* &quot;-&quot;??_ ;_ @_ "/>
    <numFmt numFmtId="164" formatCode="[$-409]d\-mmm\-yy"/>
    <numFmt numFmtId="165" formatCode="_ [$$-300A]* #,##0.00_ ;_ [$$-300A]* \-#,##0.00_ ;_ [$$-300A]* &quot;-&quot;??_ ;_ @_ "/>
  </numFmts>
  <fonts count="8" x14ac:knownFonts="1">
    <font>
      <sz val="11"/>
      <color theme="1"/>
      <name val="Calibri"/>
      <family val="2"/>
      <scheme val="minor"/>
    </font>
    <font>
      <b/>
      <sz val="8"/>
      <color rgb="FFFFFFFF"/>
      <name val="Calibri"/>
      <family val="2"/>
    </font>
    <font>
      <sz val="8"/>
      <color rgb="FF000000"/>
      <name val="Calibri"/>
      <family val="2"/>
      <scheme val="minor"/>
    </font>
    <font>
      <sz val="8"/>
      <color rgb="FF000000"/>
      <name val="Calibri"/>
      <family val="2"/>
    </font>
    <font>
      <sz val="8"/>
      <color theme="1"/>
      <name val="Arial"/>
      <family val="2"/>
    </font>
    <font>
      <sz val="8"/>
      <color rgb="FF000000"/>
      <name val="Arial"/>
      <family val="2"/>
    </font>
    <font>
      <sz val="8"/>
      <color theme="1"/>
      <name val="Calibri"/>
      <family val="2"/>
    </font>
    <font>
      <sz val="8"/>
      <color theme="1"/>
      <name val="Calibri"/>
      <family val="2"/>
      <scheme val="minor"/>
    </font>
  </fonts>
  <fills count="11">
    <fill>
      <patternFill patternType="none"/>
    </fill>
    <fill>
      <patternFill patternType="gray125"/>
    </fill>
    <fill>
      <patternFill patternType="solid">
        <fgColor rgb="FF1F5C8B"/>
        <bgColor rgb="FF1F5C8B"/>
      </patternFill>
    </fill>
    <fill>
      <patternFill patternType="solid">
        <fgColor rgb="FF92D050"/>
        <bgColor rgb="FF92D050"/>
      </patternFill>
    </fill>
    <fill>
      <patternFill patternType="solid">
        <fgColor rgb="FF00B0F0"/>
        <bgColor indexed="64"/>
      </patternFill>
    </fill>
    <fill>
      <patternFill patternType="solid">
        <fgColor rgb="FF00B0F0"/>
        <bgColor rgb="FF92D050"/>
      </patternFill>
    </fill>
    <fill>
      <patternFill patternType="solid">
        <fgColor rgb="FFFFFF00"/>
        <bgColor indexed="64"/>
      </patternFill>
    </fill>
    <fill>
      <patternFill patternType="solid">
        <fgColor rgb="FFFFFF00"/>
        <bgColor rgb="FF92D050"/>
      </patternFill>
    </fill>
    <fill>
      <patternFill patternType="solid">
        <fgColor rgb="FFFF0000"/>
        <bgColor indexed="64"/>
      </patternFill>
    </fill>
    <fill>
      <patternFill patternType="solid">
        <fgColor rgb="FFFF0000"/>
        <bgColor rgb="FF92D050"/>
      </patternFill>
    </fill>
    <fill>
      <patternFill patternType="solid">
        <fgColor rgb="FF00B05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20" fontId="3" fillId="4" borderId="1" xfId="0" applyNumberFormat="1" applyFont="1" applyFill="1" applyBorder="1" applyAlignment="1">
      <alignment horizontal="center" vertical="center" wrapText="1"/>
    </xf>
    <xf numFmtId="44" fontId="3" fillId="4" borderId="1"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165" fontId="4" fillId="4" borderId="1" xfId="0" applyNumberFormat="1" applyFont="1" applyFill="1" applyBorder="1" applyAlignment="1">
      <alignment vertical="center" wrapText="1"/>
    </xf>
    <xf numFmtId="0" fontId="4" fillId="4" borderId="0" xfId="0" applyFont="1" applyFill="1" applyAlignment="1">
      <alignment vertical="center" wrapText="1"/>
    </xf>
    <xf numFmtId="0" fontId="3" fillId="5"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20" fontId="3" fillId="6" borderId="1" xfId="0" applyNumberFormat="1" applyFont="1" applyFill="1" applyBorder="1" applyAlignment="1">
      <alignment horizontal="center" vertical="center" wrapText="1"/>
    </xf>
    <xf numFmtId="44" fontId="3" fillId="6" borderId="1"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65" fontId="4" fillId="6" borderId="1" xfId="0" applyNumberFormat="1" applyFont="1" applyFill="1" applyBorder="1" applyAlignment="1">
      <alignment vertical="center" wrapText="1"/>
    </xf>
    <xf numFmtId="0" fontId="3" fillId="7" borderId="1" xfId="0" applyFont="1" applyFill="1" applyBorder="1" applyAlignment="1">
      <alignment horizontal="center" vertical="center" wrapText="1"/>
    </xf>
    <xf numFmtId="44" fontId="3" fillId="6" borderId="5"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3" fillId="6"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0" xfId="0" applyAlignment="1">
      <alignment wrapText="1"/>
    </xf>
    <xf numFmtId="0" fontId="3"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164" fontId="6" fillId="8" borderId="1" xfId="0" applyNumberFormat="1" applyFont="1" applyFill="1" applyBorder="1" applyAlignment="1">
      <alignment horizontal="center" vertical="center" wrapText="1"/>
    </xf>
    <xf numFmtId="20" fontId="3" fillId="8" borderId="1" xfId="0" applyNumberFormat="1" applyFont="1" applyFill="1" applyBorder="1" applyAlignment="1">
      <alignment horizontal="center" vertical="center" wrapText="1"/>
    </xf>
    <xf numFmtId="44" fontId="3" fillId="8" borderId="1" xfId="0" applyNumberFormat="1"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165" fontId="4" fillId="8" borderId="1" xfId="0" applyNumberFormat="1" applyFont="1" applyFill="1" applyBorder="1" applyAlignment="1">
      <alignment vertical="center" wrapText="1"/>
    </xf>
    <xf numFmtId="0" fontId="4" fillId="8" borderId="0" xfId="0" applyFont="1" applyFill="1" applyAlignment="1">
      <alignment vertical="center" wrapText="1"/>
    </xf>
    <xf numFmtId="0" fontId="7" fillId="0" borderId="0" xfId="0" applyFont="1" applyAlignment="1">
      <alignment wrapText="1"/>
    </xf>
    <xf numFmtId="164" fontId="3" fillId="8" borderId="1" xfId="0" applyNumberFormat="1" applyFont="1" applyFill="1" applyBorder="1" applyAlignment="1">
      <alignment horizontal="center" vertical="center" wrapText="1"/>
    </xf>
    <xf numFmtId="0" fontId="3" fillId="10" borderId="1" xfId="0" applyFont="1" applyFill="1" applyBorder="1" applyAlignment="1">
      <alignment horizontal="center" vertical="center" wrapText="1"/>
    </xf>
    <xf numFmtId="164" fontId="3" fillId="10" borderId="1" xfId="0" applyNumberFormat="1" applyFont="1" applyFill="1" applyBorder="1" applyAlignment="1">
      <alignment horizontal="center" vertical="center" wrapText="1"/>
    </xf>
    <xf numFmtId="20" fontId="3" fillId="10" borderId="1" xfId="0" applyNumberFormat="1" applyFont="1" applyFill="1" applyBorder="1" applyAlignment="1">
      <alignment horizontal="center" vertical="center" wrapText="1"/>
    </xf>
    <xf numFmtId="44" fontId="3" fillId="10" borderId="1" xfId="0" applyNumberFormat="1" applyFont="1" applyFill="1" applyBorder="1" applyAlignment="1">
      <alignment horizontal="center" vertical="center" wrapText="1"/>
    </xf>
    <xf numFmtId="0" fontId="3" fillId="10" borderId="3" xfId="0" applyFont="1" applyFill="1" applyBorder="1" applyAlignment="1">
      <alignment horizontal="center" vertical="center" wrapText="1"/>
    </xf>
    <xf numFmtId="165" fontId="4" fillId="10"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
  <sheetViews>
    <sheetView tabSelected="1" workbookViewId="0">
      <selection activeCell="F40" sqref="F40"/>
    </sheetView>
  </sheetViews>
  <sheetFormatPr baseColWidth="10" defaultColWidth="11.42578125" defaultRowHeight="15" x14ac:dyDescent="0.25"/>
  <cols>
    <col min="1" max="1" width="11.42578125" style="38"/>
    <col min="2" max="2" width="50.28515625" style="38" customWidth="1"/>
    <col min="3" max="3" width="20.28515625" style="38" customWidth="1"/>
    <col min="4" max="4" width="15.42578125" style="38" customWidth="1"/>
    <col min="5" max="9" width="11.42578125" style="38"/>
    <col min="10" max="10" width="12.85546875" style="38" customWidth="1"/>
    <col min="11" max="14" width="11.42578125" style="38"/>
    <col min="15" max="15" width="16" style="38" customWidth="1"/>
    <col min="16" max="16" width="11.42578125" style="38"/>
    <col min="17" max="17" width="24.85546875" style="38" customWidth="1"/>
    <col min="18" max="16384" width="11.42578125" style="38"/>
  </cols>
  <sheetData>
    <row r="1" spans="1:23" ht="33.75" x14ac:dyDescent="0.25">
      <c r="A1" s="1" t="s">
        <v>0</v>
      </c>
      <c r="B1" s="1" t="s">
        <v>1</v>
      </c>
      <c r="C1" s="1" t="s">
        <v>2</v>
      </c>
      <c r="D1" s="1" t="s">
        <v>3</v>
      </c>
      <c r="E1" s="1" t="s">
        <v>4</v>
      </c>
      <c r="F1" s="1" t="s">
        <v>5</v>
      </c>
      <c r="G1" s="1" t="s">
        <v>6</v>
      </c>
      <c r="H1" s="1" t="s">
        <v>7</v>
      </c>
      <c r="I1" s="1" t="s">
        <v>8</v>
      </c>
      <c r="J1" s="1" t="s">
        <v>9</v>
      </c>
      <c r="K1" s="2" t="s">
        <v>10</v>
      </c>
      <c r="L1" s="1" t="s">
        <v>11</v>
      </c>
      <c r="M1" s="1" t="s">
        <v>12</v>
      </c>
      <c r="N1" s="1" t="s">
        <v>13</v>
      </c>
      <c r="O1" s="3" t="s">
        <v>14</v>
      </c>
      <c r="P1" s="3" t="s">
        <v>15</v>
      </c>
      <c r="Q1" s="1" t="s">
        <v>16</v>
      </c>
      <c r="R1" s="4" t="s">
        <v>17</v>
      </c>
      <c r="S1" s="5" t="s">
        <v>18</v>
      </c>
      <c r="T1" s="6" t="s">
        <v>19</v>
      </c>
      <c r="U1" s="5" t="s">
        <v>20</v>
      </c>
      <c r="V1" s="5" t="s">
        <v>21</v>
      </c>
      <c r="W1" s="7"/>
    </row>
    <row r="2" spans="1:23" ht="22.5" x14ac:dyDescent="0.25">
      <c r="A2" s="8" t="s">
        <v>22</v>
      </c>
      <c r="B2" s="8" t="s">
        <v>23</v>
      </c>
      <c r="C2" s="8"/>
      <c r="D2" s="8" t="s">
        <v>24</v>
      </c>
      <c r="E2" s="8"/>
      <c r="F2" s="8" t="s">
        <v>25</v>
      </c>
      <c r="G2" s="8" t="s">
        <v>26</v>
      </c>
      <c r="H2" s="8" t="s">
        <v>27</v>
      </c>
      <c r="I2" s="8" t="s">
        <v>28</v>
      </c>
      <c r="J2" s="8">
        <v>2.1800000000000002</v>
      </c>
      <c r="K2" s="9">
        <v>46172</v>
      </c>
      <c r="L2" s="10">
        <v>4.1666666666666664E-2</v>
      </c>
      <c r="M2" s="9">
        <v>46172</v>
      </c>
      <c r="N2" s="10">
        <v>0.16666666666666666</v>
      </c>
      <c r="O2" s="11">
        <v>9758.66</v>
      </c>
      <c r="P2" s="11">
        <v>0</v>
      </c>
      <c r="Q2" s="8"/>
      <c r="R2" s="8" t="s">
        <v>29</v>
      </c>
      <c r="S2" s="12">
        <v>13592</v>
      </c>
      <c r="T2" s="12">
        <v>13592</v>
      </c>
      <c r="U2" s="12">
        <v>6540</v>
      </c>
      <c r="V2" s="13">
        <v>588.6</v>
      </c>
      <c r="W2" s="14"/>
    </row>
    <row r="3" spans="1:23" ht="22.5" x14ac:dyDescent="0.25">
      <c r="A3" s="8" t="s">
        <v>22</v>
      </c>
      <c r="B3" s="8" t="s">
        <v>30</v>
      </c>
      <c r="C3" s="8"/>
      <c r="D3" s="8" t="s">
        <v>24</v>
      </c>
      <c r="E3" s="8" t="s">
        <v>31</v>
      </c>
      <c r="F3" s="8" t="s">
        <v>25</v>
      </c>
      <c r="G3" s="8" t="s">
        <v>32</v>
      </c>
      <c r="H3" s="8" t="s">
        <v>33</v>
      </c>
      <c r="I3" s="8" t="s">
        <v>34</v>
      </c>
      <c r="J3" s="8">
        <v>0.19</v>
      </c>
      <c r="K3" s="9">
        <v>46172</v>
      </c>
      <c r="L3" s="10">
        <v>4.1666666666666664E-2</v>
      </c>
      <c r="M3" s="9">
        <v>46172</v>
      </c>
      <c r="N3" s="10">
        <v>0.16666666666666666</v>
      </c>
      <c r="O3" s="11">
        <v>14500</v>
      </c>
      <c r="P3" s="11">
        <v>0</v>
      </c>
      <c r="Q3" s="8"/>
      <c r="R3" s="8" t="s">
        <v>4</v>
      </c>
      <c r="S3" s="12"/>
      <c r="T3" s="15"/>
      <c r="U3" s="12">
        <v>570</v>
      </c>
      <c r="V3" s="13">
        <v>51.3</v>
      </c>
      <c r="W3" s="14"/>
    </row>
    <row r="4" spans="1:23" ht="22.5" x14ac:dyDescent="0.25">
      <c r="A4" s="8" t="s">
        <v>35</v>
      </c>
      <c r="B4" s="8" t="s">
        <v>36</v>
      </c>
      <c r="C4" s="8"/>
      <c r="D4" s="8"/>
      <c r="E4" s="8" t="s">
        <v>37</v>
      </c>
      <c r="F4" s="8" t="s">
        <v>38</v>
      </c>
      <c r="G4" s="8" t="s">
        <v>39</v>
      </c>
      <c r="H4" s="8" t="s">
        <v>40</v>
      </c>
      <c r="I4" s="8" t="s">
        <v>41</v>
      </c>
      <c r="J4" s="8">
        <v>2</v>
      </c>
      <c r="K4" s="9">
        <v>46172</v>
      </c>
      <c r="L4" s="10">
        <v>0.125</v>
      </c>
      <c r="M4" s="9">
        <v>46172</v>
      </c>
      <c r="N4" s="10">
        <v>0.25</v>
      </c>
      <c r="O4" s="11">
        <v>1700</v>
      </c>
      <c r="P4" s="11">
        <v>0</v>
      </c>
      <c r="Q4" s="8" t="s">
        <v>42</v>
      </c>
      <c r="R4" s="8" t="s">
        <v>4</v>
      </c>
      <c r="S4" s="12">
        <v>1882</v>
      </c>
      <c r="T4" s="15">
        <v>1882</v>
      </c>
      <c r="U4" s="12">
        <v>6000</v>
      </c>
      <c r="V4" s="13">
        <v>540</v>
      </c>
      <c r="W4" s="14"/>
    </row>
    <row r="5" spans="1:23" ht="22.5" x14ac:dyDescent="0.25">
      <c r="A5" s="8" t="s">
        <v>35</v>
      </c>
      <c r="B5" s="8" t="s">
        <v>43</v>
      </c>
      <c r="C5" s="8"/>
      <c r="D5" s="8" t="s">
        <v>44</v>
      </c>
      <c r="E5" s="8"/>
      <c r="F5" s="8" t="s">
        <v>45</v>
      </c>
      <c r="G5" s="8" t="s">
        <v>44</v>
      </c>
      <c r="H5" s="8" t="s">
        <v>46</v>
      </c>
      <c r="I5" s="8" t="s">
        <v>34</v>
      </c>
      <c r="J5" s="8">
        <v>11</v>
      </c>
      <c r="K5" s="9">
        <v>46172</v>
      </c>
      <c r="L5" s="10">
        <v>0.125</v>
      </c>
      <c r="M5" s="9">
        <v>46172</v>
      </c>
      <c r="N5" s="10">
        <v>0.25</v>
      </c>
      <c r="O5" s="11">
        <v>6990.81</v>
      </c>
      <c r="P5" s="11">
        <v>0</v>
      </c>
      <c r="Q5" s="8" t="s">
        <v>47</v>
      </c>
      <c r="R5" s="8" t="s">
        <v>29</v>
      </c>
      <c r="S5" s="12">
        <v>14991</v>
      </c>
      <c r="T5" s="15">
        <v>14991</v>
      </c>
      <c r="U5" s="12">
        <v>33000</v>
      </c>
      <c r="V5" s="13">
        <v>2970</v>
      </c>
      <c r="W5" s="14"/>
    </row>
    <row r="6" spans="1:23" ht="22.5" x14ac:dyDescent="0.25">
      <c r="A6" s="8" t="s">
        <v>35</v>
      </c>
      <c r="B6" s="8" t="s">
        <v>48</v>
      </c>
      <c r="C6" s="8"/>
      <c r="D6" s="8"/>
      <c r="E6" s="8" t="s">
        <v>49</v>
      </c>
      <c r="F6" s="8" t="s">
        <v>38</v>
      </c>
      <c r="G6" s="8" t="s">
        <v>39</v>
      </c>
      <c r="H6" s="8" t="s">
        <v>50</v>
      </c>
      <c r="I6" s="8" t="s">
        <v>28</v>
      </c>
      <c r="J6" s="8">
        <v>2.5</v>
      </c>
      <c r="K6" s="9">
        <v>46172</v>
      </c>
      <c r="L6" s="10">
        <v>0.125</v>
      </c>
      <c r="M6" s="9">
        <v>46172</v>
      </c>
      <c r="N6" s="10">
        <v>0.25</v>
      </c>
      <c r="O6" s="11">
        <v>2444.7600000000002</v>
      </c>
      <c r="P6" s="11">
        <v>0</v>
      </c>
      <c r="Q6" s="8" t="s">
        <v>42</v>
      </c>
      <c r="R6" s="8" t="s">
        <v>4</v>
      </c>
      <c r="S6" s="12">
        <v>639</v>
      </c>
      <c r="T6" s="15">
        <v>639</v>
      </c>
      <c r="U6" s="12">
        <v>7500</v>
      </c>
      <c r="V6" s="13">
        <v>675</v>
      </c>
      <c r="W6" s="14"/>
    </row>
    <row r="7" spans="1:23" ht="22.5" x14ac:dyDescent="0.25">
      <c r="A7" s="8" t="s">
        <v>35</v>
      </c>
      <c r="B7" s="8" t="s">
        <v>51</v>
      </c>
      <c r="C7" s="8"/>
      <c r="D7" s="8"/>
      <c r="E7" s="8" t="s">
        <v>52</v>
      </c>
      <c r="F7" s="8" t="s">
        <v>38</v>
      </c>
      <c r="G7" s="8" t="s">
        <v>39</v>
      </c>
      <c r="H7" s="8" t="s">
        <v>53</v>
      </c>
      <c r="I7" s="8" t="s">
        <v>28</v>
      </c>
      <c r="J7" s="8">
        <v>2.2999999999999998</v>
      </c>
      <c r="K7" s="9">
        <v>46172</v>
      </c>
      <c r="L7" s="10">
        <v>0.125</v>
      </c>
      <c r="M7" s="9">
        <v>46172</v>
      </c>
      <c r="N7" s="10">
        <v>0.25</v>
      </c>
      <c r="O7" s="11">
        <v>1001.35</v>
      </c>
      <c r="P7" s="11">
        <v>0</v>
      </c>
      <c r="Q7" s="8" t="s">
        <v>42</v>
      </c>
      <c r="R7" s="8" t="s">
        <v>4</v>
      </c>
      <c r="S7" s="12">
        <v>3229</v>
      </c>
      <c r="T7" s="15">
        <v>3229</v>
      </c>
      <c r="U7" s="12">
        <v>6900</v>
      </c>
      <c r="V7" s="13">
        <v>621</v>
      </c>
      <c r="W7" s="14"/>
    </row>
    <row r="8" spans="1:23" ht="22.5" x14ac:dyDescent="0.25">
      <c r="A8" s="8" t="s">
        <v>35</v>
      </c>
      <c r="B8" s="8" t="s">
        <v>54</v>
      </c>
      <c r="C8" s="8"/>
      <c r="D8" s="8"/>
      <c r="E8" s="8" t="s">
        <v>55</v>
      </c>
      <c r="F8" s="8" t="s">
        <v>38</v>
      </c>
      <c r="G8" s="8" t="s">
        <v>39</v>
      </c>
      <c r="H8" s="8" t="s">
        <v>53</v>
      </c>
      <c r="I8" s="8" t="s">
        <v>28</v>
      </c>
      <c r="J8" s="8">
        <v>3</v>
      </c>
      <c r="K8" s="9">
        <v>46172</v>
      </c>
      <c r="L8" s="10">
        <v>0.125</v>
      </c>
      <c r="M8" s="9">
        <v>46172</v>
      </c>
      <c r="N8" s="10">
        <v>0.25</v>
      </c>
      <c r="O8" s="11">
        <v>4869.34</v>
      </c>
      <c r="P8" s="11">
        <v>0</v>
      </c>
      <c r="Q8" s="8" t="s">
        <v>42</v>
      </c>
      <c r="R8" s="8" t="s">
        <v>4</v>
      </c>
      <c r="S8" s="12">
        <v>3229</v>
      </c>
      <c r="T8" s="15">
        <v>3229</v>
      </c>
      <c r="U8" s="12">
        <v>9000</v>
      </c>
      <c r="V8" s="13">
        <v>810</v>
      </c>
      <c r="W8" s="14"/>
    </row>
    <row r="9" spans="1:23" ht="33.75" x14ac:dyDescent="0.25">
      <c r="A9" s="8" t="s">
        <v>56</v>
      </c>
      <c r="B9" s="8" t="s">
        <v>57</v>
      </c>
      <c r="C9" s="8"/>
      <c r="D9" s="8" t="s">
        <v>58</v>
      </c>
      <c r="E9" s="8"/>
      <c r="F9" s="8" t="s">
        <v>59</v>
      </c>
      <c r="G9" s="8" t="s">
        <v>60</v>
      </c>
      <c r="H9" s="8" t="s">
        <v>61</v>
      </c>
      <c r="I9" s="8" t="s">
        <v>41</v>
      </c>
      <c r="J9" s="8">
        <v>7.5</v>
      </c>
      <c r="K9" s="16">
        <v>46173</v>
      </c>
      <c r="L9" s="10">
        <v>0.16666666666666666</v>
      </c>
      <c r="M9" s="16">
        <v>46173</v>
      </c>
      <c r="N9" s="10">
        <v>0.25</v>
      </c>
      <c r="O9" s="11">
        <v>2800</v>
      </c>
      <c r="P9" s="11">
        <v>0</v>
      </c>
      <c r="Q9" s="8" t="s">
        <v>62</v>
      </c>
      <c r="R9" s="8" t="s">
        <v>29</v>
      </c>
      <c r="S9" s="12">
        <v>13353</v>
      </c>
      <c r="T9" s="15">
        <v>13353</v>
      </c>
      <c r="U9" s="12">
        <v>15000</v>
      </c>
      <c r="V9" s="13">
        <v>1350</v>
      </c>
      <c r="W9" s="14"/>
    </row>
    <row r="10" spans="1:23" ht="67.5" x14ac:dyDescent="0.25">
      <c r="A10" s="8" t="s">
        <v>56</v>
      </c>
      <c r="B10" s="8" t="s">
        <v>63</v>
      </c>
      <c r="C10" s="8" t="s">
        <v>64</v>
      </c>
      <c r="D10" s="8"/>
      <c r="E10" s="8"/>
      <c r="F10" s="8" t="s">
        <v>59</v>
      </c>
      <c r="G10" s="8" t="s">
        <v>65</v>
      </c>
      <c r="H10" s="8" t="s">
        <v>66</v>
      </c>
      <c r="I10" s="8" t="s">
        <v>67</v>
      </c>
      <c r="J10" s="8">
        <v>113</v>
      </c>
      <c r="K10" s="9">
        <v>46172</v>
      </c>
      <c r="L10" s="10">
        <v>0.125</v>
      </c>
      <c r="M10" s="9">
        <v>46172</v>
      </c>
      <c r="N10" s="10">
        <v>0.25</v>
      </c>
      <c r="O10" s="11">
        <v>70000</v>
      </c>
      <c r="P10" s="11"/>
      <c r="Q10" s="8" t="s">
        <v>62</v>
      </c>
      <c r="R10" s="8" t="s">
        <v>66</v>
      </c>
      <c r="S10" s="17">
        <v>96317</v>
      </c>
      <c r="T10" s="18">
        <v>96317</v>
      </c>
      <c r="U10" s="17">
        <v>339000</v>
      </c>
      <c r="V10" s="13">
        <v>30510</v>
      </c>
      <c r="W10" s="14"/>
    </row>
    <row r="11" spans="1:23" ht="67.5" x14ac:dyDescent="0.25">
      <c r="A11" s="8" t="s">
        <v>56</v>
      </c>
      <c r="B11" s="8" t="s">
        <v>68</v>
      </c>
      <c r="C11" s="8" t="s">
        <v>69</v>
      </c>
      <c r="D11" s="8" t="s">
        <v>70</v>
      </c>
      <c r="E11" s="8"/>
      <c r="F11" s="8" t="s">
        <v>71</v>
      </c>
      <c r="G11" s="8" t="s">
        <v>72</v>
      </c>
      <c r="H11" s="8" t="s">
        <v>66</v>
      </c>
      <c r="I11" s="8" t="s">
        <v>67</v>
      </c>
      <c r="J11" s="8">
        <v>11.13</v>
      </c>
      <c r="K11" s="9">
        <v>46172</v>
      </c>
      <c r="L11" s="10">
        <v>0.125</v>
      </c>
      <c r="M11" s="9">
        <v>46172</v>
      </c>
      <c r="N11" s="10">
        <v>0.25</v>
      </c>
      <c r="O11" s="11">
        <v>3500</v>
      </c>
      <c r="P11" s="11"/>
      <c r="Q11" s="8" t="s">
        <v>73</v>
      </c>
      <c r="R11" s="8" t="s">
        <v>66</v>
      </c>
      <c r="S11" s="17">
        <v>16442</v>
      </c>
      <c r="T11" s="18">
        <v>16442</v>
      </c>
      <c r="U11" s="17">
        <v>33390</v>
      </c>
      <c r="V11" s="13">
        <v>3005.1</v>
      </c>
      <c r="W11" s="14"/>
    </row>
    <row r="12" spans="1:23" ht="56.25" x14ac:dyDescent="0.25">
      <c r="A12" s="8" t="s">
        <v>56</v>
      </c>
      <c r="B12" s="8" t="s">
        <v>74</v>
      </c>
      <c r="C12" s="8" t="s">
        <v>75</v>
      </c>
      <c r="D12" s="8"/>
      <c r="E12" s="8"/>
      <c r="F12" s="8" t="s">
        <v>59</v>
      </c>
      <c r="G12" s="8" t="s">
        <v>76</v>
      </c>
      <c r="H12" s="8" t="s">
        <v>66</v>
      </c>
      <c r="I12" s="8" t="s">
        <v>67</v>
      </c>
      <c r="J12" s="8">
        <v>45</v>
      </c>
      <c r="K12" s="9">
        <v>46173</v>
      </c>
      <c r="L12" s="10">
        <v>0.125</v>
      </c>
      <c r="M12" s="9">
        <v>46173</v>
      </c>
      <c r="N12" s="10">
        <v>0.25</v>
      </c>
      <c r="O12" s="11">
        <v>8000</v>
      </c>
      <c r="P12" s="11"/>
      <c r="Q12" s="8" t="s">
        <v>62</v>
      </c>
      <c r="R12" s="8" t="s">
        <v>66</v>
      </c>
      <c r="S12" s="12">
        <v>55764</v>
      </c>
      <c r="T12" s="15">
        <v>55764</v>
      </c>
      <c r="U12" s="12">
        <v>135000</v>
      </c>
      <c r="V12" s="13">
        <v>12150</v>
      </c>
      <c r="W12" s="14" t="s">
        <v>77</v>
      </c>
    </row>
    <row r="13" spans="1:23" ht="101.25" x14ac:dyDescent="0.25">
      <c r="A13" s="8" t="s">
        <v>56</v>
      </c>
      <c r="B13" s="8" t="s">
        <v>78</v>
      </c>
      <c r="C13" s="8"/>
      <c r="D13" s="8" t="s">
        <v>79</v>
      </c>
      <c r="E13" s="8"/>
      <c r="F13" s="8" t="s">
        <v>59</v>
      </c>
      <c r="G13" s="8" t="s">
        <v>80</v>
      </c>
      <c r="H13" s="8" t="s">
        <v>81</v>
      </c>
      <c r="I13" s="8" t="s">
        <v>41</v>
      </c>
      <c r="J13" s="8">
        <v>25.49</v>
      </c>
      <c r="K13" s="16">
        <v>46163</v>
      </c>
      <c r="L13" s="10">
        <v>0.125</v>
      </c>
      <c r="M13" s="16">
        <v>46163</v>
      </c>
      <c r="N13" s="10">
        <v>0.25</v>
      </c>
      <c r="O13" s="11">
        <v>6500</v>
      </c>
      <c r="P13" s="11"/>
      <c r="Q13" s="8" t="s">
        <v>62</v>
      </c>
      <c r="R13" s="8" t="s">
        <v>29</v>
      </c>
      <c r="S13" s="12">
        <v>24491</v>
      </c>
      <c r="T13" s="12">
        <v>24491</v>
      </c>
      <c r="U13" s="12">
        <v>76470</v>
      </c>
      <c r="V13" s="13">
        <v>6882.3</v>
      </c>
      <c r="W13" s="14"/>
    </row>
    <row r="14" spans="1:23" ht="90" x14ac:dyDescent="0.25">
      <c r="A14" s="8" t="s">
        <v>82</v>
      </c>
      <c r="B14" s="19" t="s">
        <v>83</v>
      </c>
      <c r="C14" s="8"/>
      <c r="D14" s="8" t="s">
        <v>84</v>
      </c>
      <c r="E14" s="8"/>
      <c r="F14" s="8" t="s">
        <v>85</v>
      </c>
      <c r="G14" s="8" t="s">
        <v>86</v>
      </c>
      <c r="H14" s="8" t="s">
        <v>87</v>
      </c>
      <c r="I14" s="8" t="s">
        <v>41</v>
      </c>
      <c r="J14" s="8">
        <v>9.5</v>
      </c>
      <c r="K14" s="20">
        <v>46172</v>
      </c>
      <c r="L14" s="10">
        <v>0.125</v>
      </c>
      <c r="M14" s="20">
        <v>46172</v>
      </c>
      <c r="N14" s="10">
        <v>0.29166666666666669</v>
      </c>
      <c r="O14" s="11">
        <v>24162.48</v>
      </c>
      <c r="P14" s="11">
        <v>0</v>
      </c>
      <c r="Q14" s="8" t="s">
        <v>88</v>
      </c>
      <c r="R14" s="21" t="s">
        <v>29</v>
      </c>
      <c r="S14" s="12">
        <v>21407</v>
      </c>
      <c r="T14" s="15">
        <v>21407</v>
      </c>
      <c r="U14" s="12">
        <v>38000</v>
      </c>
      <c r="V14" s="13">
        <v>3420</v>
      </c>
      <c r="W14" s="14"/>
    </row>
    <row r="15" spans="1:23" ht="90" x14ac:dyDescent="0.25">
      <c r="A15" s="8" t="s">
        <v>82</v>
      </c>
      <c r="B15" s="19" t="s">
        <v>89</v>
      </c>
      <c r="C15" s="8"/>
      <c r="D15" s="8" t="s">
        <v>90</v>
      </c>
      <c r="E15" s="8"/>
      <c r="F15" s="8" t="s">
        <v>85</v>
      </c>
      <c r="G15" s="8" t="s">
        <v>91</v>
      </c>
      <c r="H15" s="8" t="s">
        <v>92</v>
      </c>
      <c r="I15" s="8" t="s">
        <v>41</v>
      </c>
      <c r="J15" s="8">
        <v>6.5</v>
      </c>
      <c r="K15" s="20">
        <v>46173</v>
      </c>
      <c r="L15" s="10">
        <v>0.125</v>
      </c>
      <c r="M15" s="20">
        <v>46173</v>
      </c>
      <c r="N15" s="10">
        <v>0.25</v>
      </c>
      <c r="O15" s="11">
        <v>5445.85</v>
      </c>
      <c r="P15" s="11">
        <v>0</v>
      </c>
      <c r="Q15" s="8" t="s">
        <v>93</v>
      </c>
      <c r="R15" s="21" t="s">
        <v>29</v>
      </c>
      <c r="S15" s="12">
        <v>21995</v>
      </c>
      <c r="T15" s="15">
        <v>21995</v>
      </c>
      <c r="U15" s="12">
        <v>19500</v>
      </c>
      <c r="V15" s="13">
        <v>1755</v>
      </c>
      <c r="W15" s="14"/>
    </row>
    <row r="16" spans="1:23" ht="56.25" x14ac:dyDescent="0.25">
      <c r="A16" s="8" t="s">
        <v>94</v>
      </c>
      <c r="B16" s="8" t="s">
        <v>95</v>
      </c>
      <c r="C16" s="8" t="s">
        <v>96</v>
      </c>
      <c r="D16" s="8"/>
      <c r="E16" s="8"/>
      <c r="F16" s="8" t="s">
        <v>97</v>
      </c>
      <c r="G16" s="8" t="s">
        <v>98</v>
      </c>
      <c r="H16" s="8" t="s">
        <v>66</v>
      </c>
      <c r="I16" s="8" t="s">
        <v>28</v>
      </c>
      <c r="J16" s="8">
        <v>17.145</v>
      </c>
      <c r="K16" s="9">
        <v>46172</v>
      </c>
      <c r="L16" s="10">
        <v>0.25</v>
      </c>
      <c r="M16" s="9">
        <v>46172</v>
      </c>
      <c r="N16" s="10">
        <v>0.375</v>
      </c>
      <c r="O16" s="11">
        <v>9886</v>
      </c>
      <c r="P16" s="11">
        <v>0</v>
      </c>
      <c r="Q16" s="8" t="s">
        <v>99</v>
      </c>
      <c r="R16" s="21" t="s">
        <v>66</v>
      </c>
      <c r="S16" s="12">
        <v>17145</v>
      </c>
      <c r="T16" s="15">
        <v>17145</v>
      </c>
      <c r="U16" s="12">
        <v>51435</v>
      </c>
      <c r="V16" s="13">
        <v>4629.1499999999996</v>
      </c>
      <c r="W16" s="14"/>
    </row>
    <row r="17" spans="1:23" ht="33.75" x14ac:dyDescent="0.25">
      <c r="A17" s="8" t="s">
        <v>100</v>
      </c>
      <c r="B17" s="8" t="s">
        <v>101</v>
      </c>
      <c r="C17" s="8"/>
      <c r="D17" s="8" t="s">
        <v>102</v>
      </c>
      <c r="E17" s="8"/>
      <c r="F17" s="8" t="s">
        <v>45</v>
      </c>
      <c r="G17" s="8" t="s">
        <v>102</v>
      </c>
      <c r="H17" s="8" t="s">
        <v>103</v>
      </c>
      <c r="I17" s="8" t="s">
        <v>41</v>
      </c>
      <c r="J17" s="8">
        <v>8</v>
      </c>
      <c r="K17" s="9">
        <v>46173</v>
      </c>
      <c r="L17" s="10">
        <v>8.3333333333333329E-2</v>
      </c>
      <c r="M17" s="9">
        <v>46173</v>
      </c>
      <c r="N17" s="10">
        <v>0.20833333333333334</v>
      </c>
      <c r="O17" s="11">
        <v>4195.24</v>
      </c>
      <c r="P17" s="11">
        <v>0</v>
      </c>
      <c r="Q17" s="8" t="s">
        <v>104</v>
      </c>
      <c r="R17" s="21" t="s">
        <v>29</v>
      </c>
      <c r="S17" s="12">
        <v>9042</v>
      </c>
      <c r="T17" s="15">
        <v>9042</v>
      </c>
      <c r="U17" s="12">
        <v>24000</v>
      </c>
      <c r="V17" s="13">
        <v>2160</v>
      </c>
      <c r="W17" s="14"/>
    </row>
    <row r="18" spans="1:23" ht="22.5" x14ac:dyDescent="0.25">
      <c r="A18" s="8" t="s">
        <v>100</v>
      </c>
      <c r="B18" s="8" t="s">
        <v>105</v>
      </c>
      <c r="C18" s="8"/>
      <c r="D18" s="8" t="s">
        <v>106</v>
      </c>
      <c r="E18" s="8"/>
      <c r="F18" s="8" t="s">
        <v>45</v>
      </c>
      <c r="G18" s="8" t="s">
        <v>107</v>
      </c>
      <c r="H18" s="8" t="s">
        <v>108</v>
      </c>
      <c r="I18" s="8" t="s">
        <v>41</v>
      </c>
      <c r="J18" s="8">
        <v>3</v>
      </c>
      <c r="K18" s="9">
        <v>46172</v>
      </c>
      <c r="L18" s="10">
        <v>8.3333333333333329E-2</v>
      </c>
      <c r="M18" s="9">
        <v>46172</v>
      </c>
      <c r="N18" s="10">
        <v>0.20833333333333334</v>
      </c>
      <c r="O18" s="11">
        <v>692.48</v>
      </c>
      <c r="P18" s="11">
        <v>0</v>
      </c>
      <c r="Q18" s="8"/>
      <c r="R18" s="21" t="s">
        <v>29</v>
      </c>
      <c r="S18" s="12">
        <v>7065</v>
      </c>
      <c r="T18" s="15">
        <v>7065</v>
      </c>
      <c r="U18" s="12">
        <v>9000</v>
      </c>
      <c r="V18" s="13">
        <v>810</v>
      </c>
      <c r="W18" s="14"/>
    </row>
    <row r="19" spans="1:23" ht="33.75" x14ac:dyDescent="0.25">
      <c r="A19" s="8" t="s">
        <v>100</v>
      </c>
      <c r="B19" s="22" t="s">
        <v>109</v>
      </c>
      <c r="C19" s="8"/>
      <c r="D19" s="8" t="s">
        <v>110</v>
      </c>
      <c r="E19" s="8"/>
      <c r="F19" s="8" t="s">
        <v>45</v>
      </c>
      <c r="G19" s="8" t="s">
        <v>107</v>
      </c>
      <c r="H19" s="8" t="s">
        <v>111</v>
      </c>
      <c r="I19" s="8" t="s">
        <v>41</v>
      </c>
      <c r="J19" s="8">
        <v>2.5</v>
      </c>
      <c r="K19" s="9">
        <v>46172</v>
      </c>
      <c r="L19" s="10">
        <v>8.3333333333333329E-2</v>
      </c>
      <c r="M19" s="9">
        <v>46172</v>
      </c>
      <c r="N19" s="10">
        <v>0.20833333333333334</v>
      </c>
      <c r="O19" s="11">
        <v>3045.24</v>
      </c>
      <c r="P19" s="11">
        <v>0</v>
      </c>
      <c r="Q19" s="8" t="s">
        <v>112</v>
      </c>
      <c r="R19" s="21" t="s">
        <v>29</v>
      </c>
      <c r="S19" s="12">
        <v>217</v>
      </c>
      <c r="T19" s="15">
        <v>217</v>
      </c>
      <c r="U19" s="12">
        <v>7500</v>
      </c>
      <c r="V19" s="13">
        <v>675</v>
      </c>
      <c r="W19" s="14"/>
    </row>
    <row r="20" spans="1:23" ht="45" x14ac:dyDescent="0.25">
      <c r="A20" s="8" t="s">
        <v>113</v>
      </c>
      <c r="B20" s="8" t="s">
        <v>114</v>
      </c>
      <c r="C20" s="8" t="s">
        <v>115</v>
      </c>
      <c r="D20" s="8"/>
      <c r="E20" s="8"/>
      <c r="F20" s="8" t="s">
        <v>116</v>
      </c>
      <c r="G20" s="8" t="s">
        <v>117</v>
      </c>
      <c r="H20" s="8" t="s">
        <v>66</v>
      </c>
      <c r="I20" s="8" t="s">
        <v>28</v>
      </c>
      <c r="J20" s="8">
        <v>6.03</v>
      </c>
      <c r="K20" s="9">
        <v>46172</v>
      </c>
      <c r="L20" s="10">
        <v>0.125</v>
      </c>
      <c r="M20" s="9">
        <v>46172</v>
      </c>
      <c r="N20" s="10">
        <v>0.25</v>
      </c>
      <c r="O20" s="11">
        <v>600</v>
      </c>
      <c r="P20" s="11">
        <v>0</v>
      </c>
      <c r="Q20" s="8" t="s">
        <v>118</v>
      </c>
      <c r="R20" s="21" t="s">
        <v>66</v>
      </c>
      <c r="S20" s="12">
        <v>15946</v>
      </c>
      <c r="T20" s="15">
        <v>15946</v>
      </c>
      <c r="U20" s="12">
        <v>18090</v>
      </c>
      <c r="V20" s="13">
        <v>1628.1</v>
      </c>
      <c r="W20" s="14"/>
    </row>
    <row r="21" spans="1:23" ht="22.5" x14ac:dyDescent="0.25">
      <c r="A21" s="8" t="s">
        <v>113</v>
      </c>
      <c r="B21" s="8" t="s">
        <v>119</v>
      </c>
      <c r="C21" s="8"/>
      <c r="D21" s="8"/>
      <c r="E21" s="8" t="s">
        <v>120</v>
      </c>
      <c r="F21" s="8" t="s">
        <v>121</v>
      </c>
      <c r="G21" s="8" t="s">
        <v>122</v>
      </c>
      <c r="H21" s="8" t="s">
        <v>123</v>
      </c>
      <c r="I21" s="8" t="s">
        <v>41</v>
      </c>
      <c r="J21" s="8">
        <v>2.19</v>
      </c>
      <c r="K21" s="9">
        <v>46172</v>
      </c>
      <c r="L21" s="10">
        <v>0.125</v>
      </c>
      <c r="M21" s="9">
        <v>46172</v>
      </c>
      <c r="N21" s="10">
        <v>0.25</v>
      </c>
      <c r="O21" s="11">
        <v>900</v>
      </c>
      <c r="P21" s="11">
        <v>0</v>
      </c>
      <c r="Q21" s="8"/>
      <c r="R21" s="21" t="s">
        <v>4</v>
      </c>
      <c r="S21" s="12">
        <v>5862</v>
      </c>
      <c r="T21" s="15">
        <v>5862</v>
      </c>
      <c r="U21" s="12">
        <v>6570</v>
      </c>
      <c r="V21" s="13">
        <v>591.29999999999995</v>
      </c>
      <c r="W21" s="14"/>
    </row>
    <row r="22" spans="1:23" ht="22.5" x14ac:dyDescent="0.25">
      <c r="A22" s="23" t="s">
        <v>22</v>
      </c>
      <c r="B22" s="23" t="s">
        <v>124</v>
      </c>
      <c r="C22" s="23"/>
      <c r="D22" s="23" t="s">
        <v>125</v>
      </c>
      <c r="E22" s="23"/>
      <c r="F22" s="23" t="s">
        <v>25</v>
      </c>
      <c r="G22" s="23" t="s">
        <v>126</v>
      </c>
      <c r="H22" s="23" t="s">
        <v>127</v>
      </c>
      <c r="I22" s="23" t="s">
        <v>41</v>
      </c>
      <c r="J22" s="23">
        <v>1.22</v>
      </c>
      <c r="K22" s="24">
        <v>46179</v>
      </c>
      <c r="L22" s="25">
        <v>0.125</v>
      </c>
      <c r="M22" s="24">
        <v>46179</v>
      </c>
      <c r="N22" s="25">
        <v>0.25</v>
      </c>
      <c r="O22" s="26">
        <v>400</v>
      </c>
      <c r="P22" s="26">
        <v>0</v>
      </c>
      <c r="Q22" s="23"/>
      <c r="R22" s="23" t="s">
        <v>29</v>
      </c>
      <c r="S22" s="27">
        <v>10655</v>
      </c>
      <c r="T22" s="27">
        <v>10655</v>
      </c>
      <c r="U22" s="27">
        <v>3660</v>
      </c>
      <c r="V22" s="28">
        <v>329.4</v>
      </c>
      <c r="W22" s="7"/>
    </row>
    <row r="23" spans="1:23" ht="56.25" x14ac:dyDescent="0.25">
      <c r="A23" s="23" t="s">
        <v>35</v>
      </c>
      <c r="B23" s="23" t="s">
        <v>48</v>
      </c>
      <c r="C23" s="23"/>
      <c r="D23" s="23"/>
      <c r="E23" s="23" t="s">
        <v>128</v>
      </c>
      <c r="F23" s="23" t="s">
        <v>38</v>
      </c>
      <c r="G23" s="23" t="s">
        <v>128</v>
      </c>
      <c r="H23" s="23" t="s">
        <v>129</v>
      </c>
      <c r="I23" s="23" t="s">
        <v>28</v>
      </c>
      <c r="J23" s="23">
        <v>4</v>
      </c>
      <c r="K23" s="24">
        <v>46179</v>
      </c>
      <c r="L23" s="25">
        <v>0.29166666666666669</v>
      </c>
      <c r="M23" s="24">
        <v>46179</v>
      </c>
      <c r="N23" s="25">
        <v>0.41666666666666669</v>
      </c>
      <c r="O23" s="26">
        <v>9172.9500000000007</v>
      </c>
      <c r="P23" s="26">
        <v>0</v>
      </c>
      <c r="Q23" s="23" t="s">
        <v>130</v>
      </c>
      <c r="R23" s="23" t="s">
        <v>4</v>
      </c>
      <c r="S23" s="27">
        <v>3429</v>
      </c>
      <c r="T23" s="29">
        <v>3429</v>
      </c>
      <c r="U23" s="27">
        <v>12000</v>
      </c>
      <c r="V23" s="28">
        <v>1080</v>
      </c>
      <c r="W23" s="7"/>
    </row>
    <row r="24" spans="1:23" ht="45" x14ac:dyDescent="0.25">
      <c r="A24" s="23" t="s">
        <v>35</v>
      </c>
      <c r="B24" s="23" t="s">
        <v>48</v>
      </c>
      <c r="C24" s="23"/>
      <c r="D24" s="23"/>
      <c r="E24" s="23" t="s">
        <v>131</v>
      </c>
      <c r="F24" s="23" t="s">
        <v>38</v>
      </c>
      <c r="G24" s="23" t="s">
        <v>132</v>
      </c>
      <c r="H24" s="23" t="s">
        <v>133</v>
      </c>
      <c r="I24" s="23" t="s">
        <v>28</v>
      </c>
      <c r="J24" s="23">
        <v>1.8</v>
      </c>
      <c r="K24" s="24">
        <v>46179</v>
      </c>
      <c r="L24" s="25">
        <v>0.29166666666666669</v>
      </c>
      <c r="M24" s="24">
        <v>46179</v>
      </c>
      <c r="N24" s="25">
        <v>0.41666666666666669</v>
      </c>
      <c r="O24" s="26">
        <v>7282.12</v>
      </c>
      <c r="P24" s="26">
        <v>0</v>
      </c>
      <c r="Q24" s="23" t="s">
        <v>134</v>
      </c>
      <c r="R24" s="23" t="s">
        <v>4</v>
      </c>
      <c r="S24" s="27">
        <v>5556</v>
      </c>
      <c r="T24" s="29">
        <v>5556</v>
      </c>
      <c r="U24" s="27">
        <v>5400</v>
      </c>
      <c r="V24" s="28">
        <v>486</v>
      </c>
      <c r="W24" s="7"/>
    </row>
    <row r="25" spans="1:23" ht="45" x14ac:dyDescent="0.25">
      <c r="A25" s="23" t="s">
        <v>35</v>
      </c>
      <c r="B25" s="23" t="s">
        <v>48</v>
      </c>
      <c r="C25" s="23"/>
      <c r="D25" s="23"/>
      <c r="E25" s="23" t="s">
        <v>135</v>
      </c>
      <c r="F25" s="23" t="s">
        <v>38</v>
      </c>
      <c r="G25" s="23" t="s">
        <v>136</v>
      </c>
      <c r="H25" s="23" t="s">
        <v>137</v>
      </c>
      <c r="I25" s="23" t="s">
        <v>28</v>
      </c>
      <c r="J25" s="23">
        <v>2</v>
      </c>
      <c r="K25" s="24">
        <v>46180</v>
      </c>
      <c r="L25" s="25">
        <v>0.29166666666666669</v>
      </c>
      <c r="M25" s="24">
        <v>46180</v>
      </c>
      <c r="N25" s="25">
        <v>0.41666666666666669</v>
      </c>
      <c r="O25" s="26">
        <v>6002.05</v>
      </c>
      <c r="P25" s="26">
        <v>0</v>
      </c>
      <c r="Q25" s="23" t="s">
        <v>138</v>
      </c>
      <c r="R25" s="23" t="s">
        <v>4</v>
      </c>
      <c r="S25" s="27">
        <v>3353</v>
      </c>
      <c r="T25" s="29">
        <v>3353</v>
      </c>
      <c r="U25" s="27">
        <v>6000</v>
      </c>
      <c r="V25" s="28">
        <v>540</v>
      </c>
      <c r="W25" s="7"/>
    </row>
    <row r="26" spans="1:23" ht="56.25" x14ac:dyDescent="0.25">
      <c r="A26" s="23" t="s">
        <v>35</v>
      </c>
      <c r="B26" s="23" t="s">
        <v>139</v>
      </c>
      <c r="C26" s="23"/>
      <c r="D26" s="23"/>
      <c r="E26" s="23" t="s">
        <v>140</v>
      </c>
      <c r="F26" s="23" t="s">
        <v>38</v>
      </c>
      <c r="G26" s="23" t="s">
        <v>140</v>
      </c>
      <c r="H26" s="23" t="s">
        <v>141</v>
      </c>
      <c r="I26" s="23" t="s">
        <v>28</v>
      </c>
      <c r="J26" s="23">
        <v>4.5</v>
      </c>
      <c r="K26" s="24">
        <v>46180</v>
      </c>
      <c r="L26" s="25">
        <v>0.29166666666666669</v>
      </c>
      <c r="M26" s="24">
        <v>46180</v>
      </c>
      <c r="N26" s="25">
        <v>0.41666666666666669</v>
      </c>
      <c r="O26" s="26">
        <v>10344.65</v>
      </c>
      <c r="P26" s="26">
        <v>0</v>
      </c>
      <c r="Q26" s="23" t="s">
        <v>130</v>
      </c>
      <c r="R26" s="23" t="s">
        <v>4</v>
      </c>
      <c r="S26" s="27">
        <v>2335</v>
      </c>
      <c r="T26" s="29">
        <v>2335</v>
      </c>
      <c r="U26" s="27">
        <v>13500</v>
      </c>
      <c r="V26" s="28">
        <v>1215</v>
      </c>
      <c r="W26" s="7"/>
    </row>
    <row r="27" spans="1:23" ht="45" x14ac:dyDescent="0.25">
      <c r="A27" s="23" t="s">
        <v>142</v>
      </c>
      <c r="B27" s="23" t="s">
        <v>143</v>
      </c>
      <c r="C27" s="23"/>
      <c r="D27" s="23" t="s">
        <v>144</v>
      </c>
      <c r="E27" s="23"/>
      <c r="F27" s="23" t="s">
        <v>145</v>
      </c>
      <c r="G27" s="23" t="s">
        <v>146</v>
      </c>
      <c r="H27" s="23" t="s">
        <v>147</v>
      </c>
      <c r="I27" s="23" t="s">
        <v>28</v>
      </c>
      <c r="J27" s="23">
        <v>2.54</v>
      </c>
      <c r="K27" s="24">
        <v>46179</v>
      </c>
      <c r="L27" s="25">
        <v>0.125</v>
      </c>
      <c r="M27" s="24">
        <v>46179</v>
      </c>
      <c r="N27" s="25">
        <v>0.25</v>
      </c>
      <c r="O27" s="26">
        <v>18426.349999999999</v>
      </c>
      <c r="P27" s="26">
        <v>0</v>
      </c>
      <c r="Q27" s="23" t="s">
        <v>148</v>
      </c>
      <c r="R27" s="23" t="s">
        <v>29</v>
      </c>
      <c r="S27" s="27">
        <v>5442</v>
      </c>
      <c r="T27" s="29">
        <v>5442</v>
      </c>
      <c r="U27" s="27">
        <v>7620</v>
      </c>
      <c r="V27" s="28">
        <v>685.8</v>
      </c>
      <c r="W27" s="7"/>
    </row>
    <row r="28" spans="1:23" ht="45" x14ac:dyDescent="0.25">
      <c r="A28" s="23" t="s">
        <v>142</v>
      </c>
      <c r="B28" s="23" t="s">
        <v>149</v>
      </c>
      <c r="C28" s="23" t="s">
        <v>150</v>
      </c>
      <c r="D28" s="23"/>
      <c r="E28" s="23"/>
      <c r="F28" s="23" t="s">
        <v>145</v>
      </c>
      <c r="G28" s="23" t="s">
        <v>151</v>
      </c>
      <c r="H28" s="23" t="s">
        <v>66</v>
      </c>
      <c r="I28" s="23" t="s">
        <v>28</v>
      </c>
      <c r="J28" s="23">
        <v>19.850000000000001</v>
      </c>
      <c r="K28" s="24">
        <v>46180</v>
      </c>
      <c r="L28" s="25">
        <v>0.125</v>
      </c>
      <c r="M28" s="24">
        <v>46180</v>
      </c>
      <c r="N28" s="25">
        <v>0.25</v>
      </c>
      <c r="O28" s="26">
        <v>4000</v>
      </c>
      <c r="P28" s="30">
        <v>0</v>
      </c>
      <c r="Q28" s="23" t="s">
        <v>148</v>
      </c>
      <c r="R28" s="23" t="s">
        <v>66</v>
      </c>
      <c r="S28" s="27">
        <v>26127</v>
      </c>
      <c r="T28" s="29">
        <v>26127</v>
      </c>
      <c r="U28" s="27">
        <v>59550</v>
      </c>
      <c r="V28" s="28">
        <v>5359.5</v>
      </c>
      <c r="W28" s="7"/>
    </row>
    <row r="29" spans="1:23" ht="22.5" x14ac:dyDescent="0.25">
      <c r="A29" s="23" t="s">
        <v>56</v>
      </c>
      <c r="B29" s="23" t="s">
        <v>152</v>
      </c>
      <c r="C29" s="23"/>
      <c r="D29" s="23" t="s">
        <v>58</v>
      </c>
      <c r="E29" s="23"/>
      <c r="F29" s="23" t="s">
        <v>59</v>
      </c>
      <c r="G29" s="23" t="s">
        <v>60</v>
      </c>
      <c r="H29" s="23" t="s">
        <v>61</v>
      </c>
      <c r="I29" s="23" t="s">
        <v>41</v>
      </c>
      <c r="J29" s="23">
        <v>7.5</v>
      </c>
      <c r="K29" s="31">
        <v>46179</v>
      </c>
      <c r="L29" s="25">
        <v>0.125</v>
      </c>
      <c r="M29" s="31">
        <v>46179</v>
      </c>
      <c r="N29" s="25">
        <v>0.25</v>
      </c>
      <c r="O29" s="26">
        <v>1500</v>
      </c>
      <c r="P29" s="26"/>
      <c r="Q29" s="23" t="s">
        <v>62</v>
      </c>
      <c r="R29" s="23" t="s">
        <v>29</v>
      </c>
      <c r="S29" s="32">
        <v>13379</v>
      </c>
      <c r="T29" s="33">
        <v>13379</v>
      </c>
      <c r="U29" s="32">
        <v>22500</v>
      </c>
      <c r="V29" s="28">
        <v>2025</v>
      </c>
      <c r="W29" s="7"/>
    </row>
    <row r="30" spans="1:23" ht="33.75" x14ac:dyDescent="0.25">
      <c r="A30" s="23" t="s">
        <v>56</v>
      </c>
      <c r="B30" s="23" t="s">
        <v>153</v>
      </c>
      <c r="C30" s="23" t="s">
        <v>154</v>
      </c>
      <c r="D30" s="23"/>
      <c r="E30" s="23"/>
      <c r="F30" s="23" t="s">
        <v>59</v>
      </c>
      <c r="G30" s="23" t="s">
        <v>80</v>
      </c>
      <c r="H30" s="23"/>
      <c r="I30" s="23" t="s">
        <v>67</v>
      </c>
      <c r="J30" s="23">
        <v>220</v>
      </c>
      <c r="K30" s="24">
        <v>46180</v>
      </c>
      <c r="L30" s="25">
        <v>0.125</v>
      </c>
      <c r="M30" s="24">
        <v>46180</v>
      </c>
      <c r="N30" s="25">
        <v>0.25</v>
      </c>
      <c r="O30" s="26">
        <v>6800</v>
      </c>
      <c r="P30" s="26"/>
      <c r="Q30" s="23" t="s">
        <v>62</v>
      </c>
      <c r="R30" s="23" t="s">
        <v>66</v>
      </c>
      <c r="S30" s="27">
        <v>41887</v>
      </c>
      <c r="T30" s="29">
        <v>41887</v>
      </c>
      <c r="U30" s="27">
        <v>660000</v>
      </c>
      <c r="V30" s="28">
        <v>59400</v>
      </c>
      <c r="W30" s="7"/>
    </row>
    <row r="31" spans="1:23" ht="90" x14ac:dyDescent="0.25">
      <c r="A31" s="23" t="s">
        <v>82</v>
      </c>
      <c r="B31" s="34" t="s">
        <v>155</v>
      </c>
      <c r="C31" s="23"/>
      <c r="D31" s="23" t="s">
        <v>156</v>
      </c>
      <c r="E31" s="23"/>
      <c r="F31" s="23" t="s">
        <v>85</v>
      </c>
      <c r="G31" s="23" t="s">
        <v>156</v>
      </c>
      <c r="H31" s="23" t="s">
        <v>157</v>
      </c>
      <c r="I31" s="23" t="s">
        <v>41</v>
      </c>
      <c r="J31" s="23">
        <v>4.5</v>
      </c>
      <c r="K31" s="35">
        <v>46179</v>
      </c>
      <c r="L31" s="25">
        <v>0.125</v>
      </c>
      <c r="M31" s="35">
        <v>46179</v>
      </c>
      <c r="N31" s="25">
        <v>0.25</v>
      </c>
      <c r="O31" s="26">
        <v>10370.73</v>
      </c>
      <c r="P31" s="26">
        <v>0</v>
      </c>
      <c r="Q31" s="23" t="s">
        <v>158</v>
      </c>
      <c r="R31" s="36" t="s">
        <v>29</v>
      </c>
      <c r="S31" s="27">
        <v>6545</v>
      </c>
      <c r="T31" s="29">
        <v>10674</v>
      </c>
      <c r="U31" s="27">
        <v>13500</v>
      </c>
      <c r="V31" s="28">
        <v>1215</v>
      </c>
      <c r="W31" s="7"/>
    </row>
    <row r="32" spans="1:23" ht="22.5" x14ac:dyDescent="0.25">
      <c r="A32" s="23" t="s">
        <v>94</v>
      </c>
      <c r="B32" s="23" t="s">
        <v>159</v>
      </c>
      <c r="C32" s="23"/>
      <c r="D32" s="23" t="s">
        <v>160</v>
      </c>
      <c r="E32" s="23" t="s">
        <v>161</v>
      </c>
      <c r="F32" s="23" t="s">
        <v>97</v>
      </c>
      <c r="G32" s="23" t="s">
        <v>162</v>
      </c>
      <c r="H32" s="23" t="s">
        <v>163</v>
      </c>
      <c r="I32" s="23" t="s">
        <v>28</v>
      </c>
      <c r="J32" s="23">
        <v>3.8</v>
      </c>
      <c r="K32" s="24">
        <v>46180</v>
      </c>
      <c r="L32" s="25">
        <v>0.125</v>
      </c>
      <c r="M32" s="24">
        <v>46180</v>
      </c>
      <c r="N32" s="25">
        <v>0.25</v>
      </c>
      <c r="O32" s="26">
        <v>4000</v>
      </c>
      <c r="P32" s="26">
        <v>0</v>
      </c>
      <c r="Q32" s="23" t="s">
        <v>164</v>
      </c>
      <c r="R32" s="36" t="s">
        <v>4</v>
      </c>
      <c r="S32" s="27">
        <v>4273</v>
      </c>
      <c r="T32" s="29">
        <v>4273</v>
      </c>
      <c r="U32" s="27">
        <v>11400</v>
      </c>
      <c r="V32" s="28">
        <v>1026</v>
      </c>
      <c r="W32" s="7"/>
    </row>
    <row r="33" spans="1:23" ht="33.75" x14ac:dyDescent="0.25">
      <c r="A33" s="23" t="s">
        <v>100</v>
      </c>
      <c r="B33" s="23" t="s">
        <v>165</v>
      </c>
      <c r="C33" s="23"/>
      <c r="D33" s="23" t="s">
        <v>166</v>
      </c>
      <c r="E33" s="23"/>
      <c r="F33" s="23" t="s">
        <v>45</v>
      </c>
      <c r="G33" s="23" t="s">
        <v>107</v>
      </c>
      <c r="H33" s="23" t="s">
        <v>167</v>
      </c>
      <c r="I33" s="23" t="s">
        <v>41</v>
      </c>
      <c r="J33" s="23">
        <v>12</v>
      </c>
      <c r="K33" s="24">
        <v>46180</v>
      </c>
      <c r="L33" s="25">
        <v>8.3333333333333329E-2</v>
      </c>
      <c r="M33" s="24">
        <v>46180</v>
      </c>
      <c r="N33" s="25">
        <v>0.20833333333333334</v>
      </c>
      <c r="O33" s="26">
        <v>3045.24</v>
      </c>
      <c r="P33" s="26">
        <v>0</v>
      </c>
      <c r="Q33" s="23"/>
      <c r="R33" s="36" t="s">
        <v>29</v>
      </c>
      <c r="S33" s="27">
        <v>9119</v>
      </c>
      <c r="T33" s="29">
        <v>9119</v>
      </c>
      <c r="U33" s="27">
        <v>36000</v>
      </c>
      <c r="V33" s="28">
        <v>3240</v>
      </c>
      <c r="W33" s="7"/>
    </row>
    <row r="34" spans="1:23" ht="45" x14ac:dyDescent="0.25">
      <c r="A34" s="23" t="s">
        <v>100</v>
      </c>
      <c r="B34" s="37" t="s">
        <v>168</v>
      </c>
      <c r="C34" s="23"/>
      <c r="D34" s="23" t="s">
        <v>169</v>
      </c>
      <c r="E34" s="23"/>
      <c r="F34" s="23" t="s">
        <v>45</v>
      </c>
      <c r="G34" s="23" t="s">
        <v>170</v>
      </c>
      <c r="H34" s="23" t="s">
        <v>171</v>
      </c>
      <c r="I34" s="23" t="s">
        <v>41</v>
      </c>
      <c r="J34" s="23">
        <v>7</v>
      </c>
      <c r="K34" s="24">
        <v>46179</v>
      </c>
      <c r="L34" s="25">
        <v>8.3333333333333329E-2</v>
      </c>
      <c r="M34" s="24">
        <v>46179</v>
      </c>
      <c r="N34" s="25">
        <v>0.20833333333333334</v>
      </c>
      <c r="O34" s="26">
        <v>5765.24</v>
      </c>
      <c r="P34" s="26">
        <v>0</v>
      </c>
      <c r="Q34" s="23"/>
      <c r="R34" s="36" t="s">
        <v>29</v>
      </c>
      <c r="S34" s="27">
        <v>11724</v>
      </c>
      <c r="T34" s="29">
        <v>11724</v>
      </c>
      <c r="U34" s="27">
        <v>21000</v>
      </c>
      <c r="V34" s="28">
        <v>1890</v>
      </c>
      <c r="W34" s="7"/>
    </row>
    <row r="35" spans="1:23" ht="22.5" x14ac:dyDescent="0.25">
      <c r="A35" s="23" t="s">
        <v>113</v>
      </c>
      <c r="B35" s="23" t="s">
        <v>172</v>
      </c>
      <c r="C35" s="23"/>
      <c r="D35" s="23" t="s">
        <v>173</v>
      </c>
      <c r="E35" s="23"/>
      <c r="F35" s="23" t="s">
        <v>116</v>
      </c>
      <c r="G35" s="23" t="s">
        <v>174</v>
      </c>
      <c r="H35" s="23" t="s">
        <v>175</v>
      </c>
      <c r="I35" s="23" t="s">
        <v>28</v>
      </c>
      <c r="J35" s="23">
        <v>13.59</v>
      </c>
      <c r="K35" s="24">
        <v>46179</v>
      </c>
      <c r="L35" s="25">
        <v>0.125</v>
      </c>
      <c r="M35" s="24">
        <v>46179</v>
      </c>
      <c r="N35" s="25">
        <v>0.25</v>
      </c>
      <c r="O35" s="26">
        <v>1500</v>
      </c>
      <c r="P35" s="26">
        <v>0</v>
      </c>
      <c r="Q35" s="23"/>
      <c r="R35" s="36" t="s">
        <v>29</v>
      </c>
      <c r="S35" s="27">
        <v>27109</v>
      </c>
      <c r="T35" s="29">
        <v>27109</v>
      </c>
      <c r="U35" s="27">
        <v>40770</v>
      </c>
      <c r="V35" s="28">
        <v>3669.2999999999997</v>
      </c>
      <c r="W35" s="7"/>
    </row>
    <row r="36" spans="1:23" s="49" customFormat="1" ht="42.75" customHeight="1" x14ac:dyDescent="0.2">
      <c r="A36" s="39" t="s">
        <v>82</v>
      </c>
      <c r="B36" s="40" t="s">
        <v>176</v>
      </c>
      <c r="C36" s="39"/>
      <c r="D36" s="39" t="s">
        <v>177</v>
      </c>
      <c r="E36" s="39"/>
      <c r="F36" s="39" t="s">
        <v>85</v>
      </c>
      <c r="G36" s="39" t="s">
        <v>185</v>
      </c>
      <c r="H36" s="39" t="s">
        <v>178</v>
      </c>
      <c r="I36" s="39" t="s">
        <v>41</v>
      </c>
      <c r="J36" s="39">
        <v>8.5</v>
      </c>
      <c r="K36" s="41">
        <v>46180</v>
      </c>
      <c r="L36" s="42">
        <v>0.125</v>
      </c>
      <c r="M36" s="41">
        <v>46180</v>
      </c>
      <c r="N36" s="42">
        <v>0.25</v>
      </c>
      <c r="O36" s="43">
        <v>55048.43</v>
      </c>
      <c r="P36" s="43">
        <v>0</v>
      </c>
      <c r="Q36" s="39" t="s">
        <v>179</v>
      </c>
      <c r="R36" s="44" t="s">
        <v>29</v>
      </c>
      <c r="S36" s="45">
        <v>5273</v>
      </c>
      <c r="T36" s="45">
        <v>14892</v>
      </c>
      <c r="U36" s="45">
        <v>25500</v>
      </c>
      <c r="V36" s="47">
        <v>2295</v>
      </c>
      <c r="W36" s="48" t="s">
        <v>184</v>
      </c>
    </row>
    <row r="37" spans="1:23" s="49" customFormat="1" ht="56.25" x14ac:dyDescent="0.2">
      <c r="A37" s="39" t="s">
        <v>94</v>
      </c>
      <c r="B37" s="39" t="s">
        <v>180</v>
      </c>
      <c r="C37" s="39" t="s">
        <v>181</v>
      </c>
      <c r="D37" s="39" t="s">
        <v>182</v>
      </c>
      <c r="E37" s="39"/>
      <c r="F37" s="39" t="s">
        <v>97</v>
      </c>
      <c r="G37" s="39" t="s">
        <v>98</v>
      </c>
      <c r="H37" s="39" t="s">
        <v>66</v>
      </c>
      <c r="I37" s="39" t="s">
        <v>28</v>
      </c>
      <c r="J37" s="39">
        <v>32</v>
      </c>
      <c r="K37" s="50">
        <v>46179</v>
      </c>
      <c r="L37" s="42">
        <v>0.25</v>
      </c>
      <c r="M37" s="50">
        <v>46179</v>
      </c>
      <c r="N37" s="42">
        <v>0.375</v>
      </c>
      <c r="O37" s="43">
        <v>19234</v>
      </c>
      <c r="P37" s="43">
        <v>0</v>
      </c>
      <c r="Q37" s="39" t="s">
        <v>99</v>
      </c>
      <c r="R37" s="44" t="s">
        <v>66</v>
      </c>
      <c r="S37" s="45">
        <v>19764</v>
      </c>
      <c r="T37" s="46">
        <v>19764</v>
      </c>
      <c r="U37" s="45">
        <v>96000</v>
      </c>
      <c r="V37" s="47">
        <v>8640</v>
      </c>
      <c r="W37" s="48" t="s">
        <v>183</v>
      </c>
    </row>
    <row r="38" spans="1:23" ht="22.5" x14ac:dyDescent="0.25">
      <c r="A38" s="51" t="s">
        <v>56</v>
      </c>
      <c r="B38" s="51" t="s">
        <v>186</v>
      </c>
      <c r="C38" s="51" t="s">
        <v>187</v>
      </c>
      <c r="D38" s="51"/>
      <c r="E38" s="51"/>
      <c r="F38" s="51" t="s">
        <v>59</v>
      </c>
      <c r="G38" s="51" t="s">
        <v>188</v>
      </c>
      <c r="H38" s="51"/>
      <c r="I38" s="51" t="s">
        <v>41</v>
      </c>
      <c r="J38" s="55">
        <v>31</v>
      </c>
      <c r="K38" s="52">
        <v>46173</v>
      </c>
      <c r="L38" s="53">
        <v>4.1666666666666664E-2</v>
      </c>
      <c r="M38" s="52">
        <v>46173</v>
      </c>
      <c r="N38" s="53">
        <v>0.45833333333333331</v>
      </c>
      <c r="O38" s="54">
        <v>63000</v>
      </c>
      <c r="P38" s="54"/>
      <c r="Q38" s="51" t="s">
        <v>189</v>
      </c>
      <c r="R38" s="51" t="s">
        <v>66</v>
      </c>
      <c r="S38" s="55">
        <v>33268</v>
      </c>
      <c r="T38" s="55">
        <v>33268</v>
      </c>
      <c r="U38" s="55">
        <v>310000</v>
      </c>
      <c r="V38" s="56">
        <f>U38*V30/U30</f>
        <v>27900</v>
      </c>
      <c r="W38" s="7"/>
    </row>
    <row r="39" spans="1:23" ht="33.75" x14ac:dyDescent="0.25">
      <c r="A39" s="51" t="s">
        <v>56</v>
      </c>
      <c r="B39" s="51" t="s">
        <v>190</v>
      </c>
      <c r="C39" s="51" t="s">
        <v>191</v>
      </c>
      <c r="D39" s="51"/>
      <c r="E39" s="51"/>
      <c r="F39" s="51" t="s">
        <v>59</v>
      </c>
      <c r="G39" s="51" t="s">
        <v>192</v>
      </c>
      <c r="H39" s="51"/>
      <c r="I39" s="51" t="s">
        <v>41</v>
      </c>
      <c r="J39" s="55">
        <v>43</v>
      </c>
      <c r="K39" s="52">
        <v>46173</v>
      </c>
      <c r="L39" s="53">
        <v>4.1666666666666664E-2</v>
      </c>
      <c r="M39" s="52">
        <v>46173</v>
      </c>
      <c r="N39" s="53">
        <v>0.45833333333333331</v>
      </c>
      <c r="O39" s="54">
        <v>2100</v>
      </c>
      <c r="P39" s="54"/>
      <c r="Q39" s="51" t="s">
        <v>189</v>
      </c>
      <c r="R39" s="51" t="s">
        <v>66</v>
      </c>
      <c r="S39" s="55">
        <v>83738</v>
      </c>
      <c r="T39" s="55">
        <v>83738</v>
      </c>
      <c r="U39" s="55">
        <v>430000</v>
      </c>
      <c r="V39" s="56">
        <f>U39*V30/U30</f>
        <v>38700</v>
      </c>
      <c r="W39" s="7"/>
    </row>
    <row r="40" spans="1:23" ht="22.5" x14ac:dyDescent="0.25">
      <c r="A40" s="51" t="s">
        <v>56</v>
      </c>
      <c r="B40" s="51" t="s">
        <v>193</v>
      </c>
      <c r="C40" s="51"/>
      <c r="D40" s="51"/>
      <c r="E40" s="51" t="s">
        <v>194</v>
      </c>
      <c r="F40" s="51" t="s">
        <v>59</v>
      </c>
      <c r="G40" s="51" t="s">
        <v>192</v>
      </c>
      <c r="H40" s="51"/>
      <c r="I40" s="51" t="s">
        <v>28</v>
      </c>
      <c r="J40" s="55">
        <v>2.2999999999999998</v>
      </c>
      <c r="K40" s="52">
        <v>46173</v>
      </c>
      <c r="L40" s="53">
        <v>4.1666666666666664E-2</v>
      </c>
      <c r="M40" s="52">
        <v>46173</v>
      </c>
      <c r="N40" s="53">
        <v>0.45833333333333331</v>
      </c>
      <c r="O40" s="54">
        <v>1100</v>
      </c>
      <c r="P40" s="54"/>
      <c r="Q40" s="51" t="s">
        <v>189</v>
      </c>
      <c r="R40" s="51" t="s">
        <v>66</v>
      </c>
      <c r="S40" s="55">
        <v>2617</v>
      </c>
      <c r="T40" s="55">
        <v>2617</v>
      </c>
      <c r="U40" s="55">
        <f>2300*10</f>
        <v>23000</v>
      </c>
      <c r="V40" s="56">
        <f>U40*V31/U31</f>
        <v>2070</v>
      </c>
      <c r="W4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 MELISSA DOYLET PARRA</dc:creator>
  <cp:lastModifiedBy>SOLANGE MELISSA DOYLET PARRA</cp:lastModifiedBy>
  <dcterms:created xsi:type="dcterms:W3CDTF">2026-05-21T15:29:53Z</dcterms:created>
  <dcterms:modified xsi:type="dcterms:W3CDTF">2026-05-21T20:57:53Z</dcterms:modified>
</cp:coreProperties>
</file>