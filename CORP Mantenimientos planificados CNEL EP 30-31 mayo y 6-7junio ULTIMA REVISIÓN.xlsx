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edro.ulloa\Documents\GitHub\dashboard-mantenimientos\"/>
    </mc:Choice>
  </mc:AlternateContent>
  <bookViews>
    <workbookView xWindow="0" yWindow="0" windowWidth="23040" windowHeight="9264" firstSheet="1" activeTab="1"/>
  </bookViews>
  <sheets>
    <sheet name="Hoja2" sheetId="2" state="hidden" r:id="rId1"/>
    <sheet name="BASE COMPLETA" sheetId="1" r:id="rId2"/>
    <sheet name="TRABAJOS CNEL" sheetId="3" state="hidden" r:id="rId3"/>
  </sheets>
  <definedNames>
    <definedName name="_xlnm._FilterDatabase" localSheetId="1" hidden="1">'BASE COMPLETA'!$A$5:$Z$95</definedName>
    <definedName name="_xlnm._FilterDatabase" localSheetId="2" hidden="1">'TRABAJOS CNEL'!$A$5:$X$80</definedName>
  </definedNames>
  <calcPr calcId="152511"/>
  <pivotCaches>
    <pivotCache cacheId="1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9" i="1" l="1"/>
  <c r="W19" i="1" s="1"/>
  <c r="W17" i="1"/>
  <c r="W18" i="1"/>
</calcChain>
</file>

<file path=xl/sharedStrings.xml><?xml version="1.0" encoding="utf-8"?>
<sst xmlns="http://schemas.openxmlformats.org/spreadsheetml/2006/main" count="1781" uniqueCount="475">
  <si>
    <t>Empresa</t>
  </si>
  <si>
    <t>PROYECTO O DESCRIPCIÓN DE LOS TRABAJOS</t>
  </si>
  <si>
    <t>LINEA DE SUBTRANSMISIÓN</t>
  </si>
  <si>
    <t>S/E</t>
  </si>
  <si>
    <t>ALIMENTADOR</t>
  </si>
  <si>
    <t>PROVINCIA</t>
  </si>
  <si>
    <t>CANTON</t>
  </si>
  <si>
    <t>CODIGO GIS</t>
  </si>
  <si>
    <t>Desconexiones Programadas</t>
  </si>
  <si>
    <t>MW (Desconectados)</t>
  </si>
  <si>
    <t>Fecha de Inicio</t>
  </si>
  <si>
    <t>Hora inicio</t>
  </si>
  <si>
    <t>Fecha de Fin</t>
  </si>
  <si>
    <t>Hora fin</t>
  </si>
  <si>
    <t>$ Valoración de los trabajos (materiales + Mano de obra)</t>
  </si>
  <si>
    <t>Presupuesto requerido $</t>
  </si>
  <si>
    <t>Justificación del horario de ejecución</t>
  </si>
  <si>
    <t>ETAPA FUNCIONAL</t>
  </si>
  <si>
    <t>Clientes
Afectados</t>
  </si>
  <si>
    <t>Clientes Totales</t>
  </si>
  <si>
    <t>Energía kW-h (por desconexión)}</t>
  </si>
  <si>
    <t>USD energia (por desconexión)</t>
  </si>
  <si>
    <t>CNEL BOLIVAR</t>
  </si>
  <si>
    <t>CAMBIO DE TRANSFORMADOR PADMOUNTED DE SERVICIOS AUXILIARES / PRUEBAS ELÉCTRICAS DEL TRANSFORMADOR DE POTENCIA</t>
  </si>
  <si>
    <t>03_03_ECHEANDIA</t>
  </si>
  <si>
    <t>BOLIVAR</t>
  </si>
  <si>
    <t>ECHEANDIA, LAS NAVES</t>
  </si>
  <si>
    <t>03EC03</t>
  </si>
  <si>
    <t>Trabajos Preventivos</t>
  </si>
  <si>
    <t>SUBESTACIÓN</t>
  </si>
  <si>
    <t>CONSTRUCCION DE RED DE MEDIO VOLTAJE Y MONTAJE DE TRANSFORMADOR</t>
  </si>
  <si>
    <t>03_03_Echeandia 1</t>
  </si>
  <si>
    <t>ECHEANDIA</t>
  </si>
  <si>
    <t>03EC030T13</t>
  </si>
  <si>
    <t>Ingreso nuevas cargas</t>
  </si>
  <si>
    <t>CNEL EL ORO</t>
  </si>
  <si>
    <t>CAMBIO DE BARRAS 15KV EN TABLERO DE DISTRIBUCIÓN SUBTERRÁNEO</t>
  </si>
  <si>
    <t>EL SOL</t>
  </si>
  <si>
    <t>EL ORO</t>
  </si>
  <si>
    <t>MACHALA</t>
  </si>
  <si>
    <t>07MA040T15</t>
  </si>
  <si>
    <t>Trabajos Correctivos</t>
  </si>
  <si>
    <t>Zona urbana- residencial</t>
  </si>
  <si>
    <t>CONEXIÓN DE EQUIPOS PARA NUEVO ALIMENTADOR DE MEDIA TENSIÓN</t>
  </si>
  <si>
    <t>BALAO</t>
  </si>
  <si>
    <t>GUAYAS</t>
  </si>
  <si>
    <t>07BL13</t>
  </si>
  <si>
    <t>Horario de menor impacto en la demanda</t>
  </si>
  <si>
    <t>MNTTO EN ALIMENTADOR PRIMARIO (CAMBIO DE POSTES Y ESTRUCTURAS, LIMPIEZA DE VEGETACIÓN)</t>
  </si>
  <si>
    <t>CETEORO</t>
  </si>
  <si>
    <t>07PI060T14</t>
  </si>
  <si>
    <t>MNTTO EN ALIMENTADOR PRIMARIO (MANTENIMIENTO A GABINETES DE DISTRIBUCIÓN) - CAMBIO DE SECCIONADORES EN TRANSICIÓN</t>
  </si>
  <si>
    <t>ARÍZAGA</t>
  </si>
  <si>
    <t>07MC080T13</t>
  </si>
  <si>
    <t>MNTTO EN ALIMENTADOR PRIMARIO (MANTENIMIENTO A GABINETES DE DISTRIBUCIÓN) - INSTALACIÓN DE CUCHILLAS EN TRANSICIÓN</t>
  </si>
  <si>
    <t>FYBECA</t>
  </si>
  <si>
    <t>CNEL GUAYAS LOS RIOS</t>
  </si>
  <si>
    <t>CONEXIÓN DE ACOMETIDAS DE 69 KV PARA ENERGIZACIÓN EN VACÍO DEL TRANSFORMADOR EN PEDRO CARBO DE NUEVO TRANSFORMADOR DE POTENCIA, PARA LIBERAR SUBESTACIÓN MÓVIL</t>
  </si>
  <si>
    <t>PEDRO CARBO</t>
  </si>
  <si>
    <t>Guayas</t>
  </si>
  <si>
    <t>Pedro Carbo</t>
  </si>
  <si>
    <t>09PC09</t>
  </si>
  <si>
    <t>MENOR IMPACTO EN MADRUGADA</t>
  </si>
  <si>
    <t>- CAMBIO DE TOPOLOGÍA LT1, LT2
 - INGRESO A BAHÍA LT1 CON NUEVA LÍNEA
 - TENDIDO DE GUARDA HACIA S/E CATALUÑA
 - DESMONTAJE DE SECCIONADOR EXISTENTE LT1
 - READECUACIÓN PARA CAMBIO EN LA CONEXIÓN A S/E MÓVIL CELEC
 - SECCIONAMENTO DE LÍNEA EXISTENTE DAULE-JB AGUIRRE</t>
  </si>
  <si>
    <t>DESCONEXIÓN DE LAS LÍNEAS LT1, LT2, LT3, LT4, LT5, MOVIL DE LA SUBESTACIÓN DOS CERRITOS SNT.</t>
  </si>
  <si>
    <t>Daule, Salitre, Palestina, Balzar, Colimes, Santa Lucía, Samborondón</t>
  </si>
  <si>
    <t>LST</t>
  </si>
  <si>
    <t>Ingreso Nuevas Cargas</t>
  </si>
  <si>
    <t>INTERCONEXION DE LA NUEVA LINEA DE SUBTRANSMISION BUENA FE PRONACA</t>
  </si>
  <si>
    <t>BUENA FE - PRONACA</t>
  </si>
  <si>
    <t>BUENA FE</t>
  </si>
  <si>
    <t>Los Ríos</t>
  </si>
  <si>
    <t>Buena Fe</t>
  </si>
  <si>
    <t>PARA REALIZAR LOS TRABAJOS SE REQUIERE LA LUZ DEL DÍA DEBIDO A QUE NO SE CUENTA CON SUFICIENTE ILUMINACION PARA REALIZAR LOS TRABAJOS EN REDES DE ALTA TENSIÓN</t>
  </si>
  <si>
    <t>'- CAMBIO DE TOPOLOGÍA LT5
- COMPLETAR INGRESO A BAHÍA LT1 CON NUEVA LÍNEA
- PUESTA EN OPERACIÓN NUEVO SECCIONADOR LT1
- SECCIONAMENTO DE LÍNEA EXISTENTE DAULE-JB AGUIRRE
- ENERGIZACIÓN DE NUEVA LT1 Y TOMA DE CARGA</t>
  </si>
  <si>
    <t>DESCONEXIÓN DE LA LÍNEA LT5 DE LA SUBESTACIÓN DOS CERRITOS SNT.</t>
  </si>
  <si>
    <t>Daule, Salitre, Palestina, Balzar, Colimes, Santa Lucía</t>
  </si>
  <si>
    <t>SECTOR ARROCERO, DAULE SANTA LUCIA PALESTINA</t>
  </si>
  <si>
    <t>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t>
  </si>
  <si>
    <t>EL RECREO</t>
  </si>
  <si>
    <t>Durán</t>
  </si>
  <si>
    <t>09ER21</t>
  </si>
  <si>
    <t>CNEL LOS RIOS</t>
  </si>
  <si>
    <t>CAMBIO DE CONDUCTOR AISLADO SOTERRADO EN LAS SALIDAS DE LOS ALIMENTADORES VINCES CENTRO, VINCES SUR Y ANTONIO SOTOMAYOR, POR DESGASTE EN EL AISLAMIENTO DE LOS CONDUCTORES.</t>
  </si>
  <si>
    <t>VINCES</t>
  </si>
  <si>
    <t>LOS RIOS</t>
  </si>
  <si>
    <t>VINCES, BABA</t>
  </si>
  <si>
    <t>10VI08</t>
  </si>
  <si>
    <t>SE PLANTEA EL HORARIO MOSTRADO DEBIDO AL TOQUE DE QUEDA QUE CULMINA 05H00 Y LA SE VINCES ESTA A 45 MINUTOS DE DISTANCIA DE DONDE SALE EL PERSONAL Y EL TRASLADO HACIA LA SE EN HORAS DE LA MADRUGADA ES ALTAMENTE PELIGROSO</t>
  </si>
  <si>
    <t>CORRECCIÓN DE PUNTOS CALIENTES EN BUSHINGS DEL TRANSFORMADOR DE POTENCIA Y EN SECCIONAMIENTOS A NIVEL DE 13,8KV</t>
  </si>
  <si>
    <t>CEDEGE</t>
  </si>
  <si>
    <t>BABAHOYO, MONTALVO</t>
  </si>
  <si>
    <t>10CE03</t>
  </si>
  <si>
    <t>SE PLANTEA EL HORARIO MOSTRADO DEBIDO AL TOQUE DE QUEDA QUE CULMINA 05H00 Y LA SE CEDEGE ESTA A 25 MINUTOS DE DISTANCIA DE DONDE SALE EL PERSONAL Y EL TRASLADO HACIA LA SE EN HORAS DE LA MADRUGADA ES ALTAMENTE PELIGROSO</t>
  </si>
  <si>
    <t>CNEL MANABÍ</t>
  </si>
  <si>
    <t>Cambio de aisladores, desbroce, reubicacion de postes</t>
  </si>
  <si>
    <t>ROCAFUERTE - CRUCITA</t>
  </si>
  <si>
    <t>MANABI</t>
  </si>
  <si>
    <t>PORTOVIEJO</t>
  </si>
  <si>
    <t>Trabajos seran realizados en zona montañosa y de dificil acceso, por esta razon se requiere tener visibilidad en lostrabajos e ingreso a los puntos</t>
  </si>
  <si>
    <t>CNEL MILAGRO</t>
  </si>
  <si>
    <t>ANOMALÍAS TÉRMICAS EN EL RECONECTADOR DE CABECERA VILLANUEVA 2, DISYUNTOR LLEGADA PUERTO INCA, SALIDA BALAO 4, DESBROCE VEGETACIÓN A NIVEL DE DISTRIBUCIÓN 13,8kV</t>
  </si>
  <si>
    <t>NARANJAL</t>
  </si>
  <si>
    <t>12NA09</t>
  </si>
  <si>
    <t>SECTORES RURALES ALEJADOS DE LA CIUDAD,ZONA PELIGROSA</t>
  </si>
  <si>
    <t>ANOMALÍAS TÉRMICAS EN ENTRADA AL SECCIONADOR DE BARRA FASE C Y EN SALIDA DEL SECCIONADOR DE BARRA FASE A</t>
  </si>
  <si>
    <t>MILAGRO SUR</t>
  </si>
  <si>
    <t>MILAGRO</t>
  </si>
  <si>
    <t>12MS13</t>
  </si>
  <si>
    <t>ANOMALÍAS TÉRMICAS EN RECONECTADOR DE BARRAS, CT´S DE BARRAS, CAMBIO DE CONFIGURACIÓN DE ESTRUCTURAS EN POSTES ALEJADOS DE LA CARRETERA</t>
  </si>
  <si>
    <t>CHOBO</t>
  </si>
  <si>
    <t>12CH16</t>
  </si>
  <si>
    <t>SECTORES RURALES ALEJADOS DE LA CIUDAD, ZONA PELIGROSA</t>
  </si>
  <si>
    <t>CNEL SUCUMBÍOS</t>
  </si>
  <si>
    <t>CAMBIO DE CADENA DE AISLADORES EN FASE MEDIA, ESTRUCTURA N.º 102: POSTE DE HORMIGÓN EN SUSPENSIÓN</t>
  </si>
  <si>
    <t>JIVINO - SACHA</t>
  </si>
  <si>
    <t>Orellana</t>
  </si>
  <si>
    <t>Joya de los Sachas</t>
  </si>
  <si>
    <t>TRANSFERENCIA DE CARGA, AL CULMINAR LOS TRABAJOS SE DESCONECTA TODA LA CARGA POR 5 MIN APROXIMADAMENTE</t>
  </si>
  <si>
    <t>CAMBIO DE POSTE DE HORMIGÓN EN MAL ESTADO DE 12 METROS</t>
  </si>
  <si>
    <t>VIA JIVINO</t>
  </si>
  <si>
    <t>Sucumbíos</t>
  </si>
  <si>
    <t>Lago Agrio</t>
  </si>
  <si>
    <t>20LG010T14</t>
  </si>
  <si>
    <t>CORRECCIÓN DE PUNTO CALIENTE EN BARRAS DE 69 KV</t>
  </si>
  <si>
    <t>03_04_COCHABAMBA</t>
  </si>
  <si>
    <t>SAN MIGUEL, CHILLANES</t>
  </si>
  <si>
    <t>03CO04</t>
  </si>
  <si>
    <t>ATAHUALPA</t>
  </si>
  <si>
    <t>07PO100T25</t>
  </si>
  <si>
    <t>Zona alta de la provincia, en la madrugada se presentan condiciones climáticas adversas, se considera el tiempo de traslada hacia los sitios de trabajo</t>
  </si>
  <si>
    <t>CORDÓN FRONTERIZO</t>
  </si>
  <si>
    <t>ARENILLAS</t>
  </si>
  <si>
    <t>07AR090T13</t>
  </si>
  <si>
    <t>En la madrugada se presentan condiciones climáticas adversas, se considera el tiempo de traslada hacia los sitios de trabajo</t>
  </si>
  <si>
    <t>BARBONES TENDALES</t>
  </si>
  <si>
    <t>EL GUABO</t>
  </si>
  <si>
    <t>07BA020T11</t>
  </si>
  <si>
    <t>Sector con alto nivel de inseguridad, se considera el tiempo de traslada hacia los sitios de trabajo</t>
  </si>
  <si>
    <t>MNTTO EN ALIMENTADOR PRIMARIO (RECONFIGURACIÓN DE LINEA DE MV, CAMBIO DE ESTRUCTURAS)</t>
  </si>
  <si>
    <t>ZARUMA</t>
  </si>
  <si>
    <t>07PO100T11</t>
  </si>
  <si>
    <t>CNEL ESMERALDAS</t>
  </si>
  <si>
    <t>TRABAJO CONTRTADO MANTENIMIENTO DE TRANSFORMADOR DE POTENCIA EN FRÍO (pruebas electricas, ajuste de terminales, pernos conexiones, pintura etc.) Subestación Viche</t>
  </si>
  <si>
    <t>VICHE</t>
  </si>
  <si>
    <t>ESMERALDAS</t>
  </si>
  <si>
    <t>QUININDE</t>
  </si>
  <si>
    <t>08VI15</t>
  </si>
  <si>
    <t>HORARIO DE MENOR IMPACTO HACIA LOS USUARIOS POR DESLASTRE DE CARGA EN DEMANDA MINIMA</t>
  </si>
  <si>
    <t>TRABAJOS DE MANTENIMIENTO PROGRAMADO LST PRADERA - ATACAMES, TRABAJOS DESBROCE DE VEGETACION Y TALA DE ARBOLES CERCANOS A LA RED</t>
  </si>
  <si>
    <t>PRADERA - ATACAMES</t>
  </si>
  <si>
    <t>ATACAMES</t>
  </si>
  <si>
    <t>TOMA DE CARGA DEL TRANSFORMADOR DE NUEVO TRANSFORMADOR DE POTENCIA EN PEDRO CARBO, PARA LIBERAR SUBESTACIÓN MÓVIL</t>
  </si>
  <si>
    <t>DESCONEXIÓN CNEL 2, CNEL 3, CNEL 4 PARA CAMBIO DE TOPOLOGIA Y REPOTENCIACIÓN DE LÍNEA DE SUBTRANSMIÓN HOSPITAL DURÁN - DURÁN SUR</t>
  </si>
  <si>
    <t>CNEL 2, CNEL 3, CNEL 4</t>
  </si>
  <si>
    <t>CAMBIO DE SECCIONADORES TIPO TANDEM DEL ALIMENTADOR PROGRESO EN MAL ESTADO, CAMBIO DE SECCIONADOR DEL TRANSFORAMDOR DE SERVICIOS AUXILIARES, CORRECCIÓN DE FUGA DE ACEITE EN TRANSFORMADOR DE POTENCIA, LLENADO DE GAS SF6 EN INTERRUPTOR PRINCIPAL DEL TRANSFORMADOR DE POTENCIA</t>
  </si>
  <si>
    <t>BABA</t>
  </si>
  <si>
    <t>10BA05</t>
  </si>
  <si>
    <t>SE PLANTEA EL HORARIO MOSTRADO DEBIDO AL TOQUE DE QUEDA QUE CULMINA 05H00 Y LA SE BABA ESTA A 30 MINUTOS DE DISTANCIA DE DONDE SALE EL PERSONAL Y EL TRASLADO HACIA LA SE EN HORAS DE LA MADRUGADA ES ALTAMENTE PELIGROSO</t>
  </si>
  <si>
    <t>Cambio de poste, aisladores y desbroce</t>
  </si>
  <si>
    <t>MANTA 4</t>
  </si>
  <si>
    <t>No 42</t>
  </si>
  <si>
    <t>MANTA</t>
  </si>
  <si>
    <t>11M4150T11</t>
  </si>
  <si>
    <t>Horario de menora afectación</t>
  </si>
  <si>
    <t>ANOMALÍAS TÉRMICAS EN CT DE BARRA,INTERRUPTOR Y SECCIONADOR DE BARRA 13,8kV, MONTAJE DE NUEVOS CT´S PARA MEDICIÓN Y PROTECCIÓN, REAJUSTE EN RECONECTADORES DE SALIDAS</t>
  </si>
  <si>
    <t>CENTRAL DIESEL</t>
  </si>
  <si>
    <t>12DI14</t>
  </si>
  <si>
    <t>ANOMALÍAS TÉRMICAS EN SECCIONADORES DE ENTRADA ALIMENTADORES,  CAMBIO DE HERRAJES EN EQUIPOS DE SUBESTACIÓN, CAMBIO DE SECCIONADORES QUE PRESENTAN PUNTOS CALIENTES.</t>
  </si>
  <si>
    <t>MONTERO</t>
  </si>
  <si>
    <t>YAGUACHI</t>
  </si>
  <si>
    <t>12MO08</t>
  </si>
  <si>
    <t>MANTENIMIENTO PREVENTIVO DE LOS CUADROS DE 13.8KV Y 69KV EN LA S/E PAYAMINO</t>
  </si>
  <si>
    <t>PAYAMINO</t>
  </si>
  <si>
    <t>Francisco de Orellana</t>
  </si>
  <si>
    <t>20PY02</t>
  </si>
  <si>
    <t>MANTENIMIENTO AL TRANSFORMADOR DE POTENCIA, BARRAJE A 13,8KV Y CAMBIO DE INTERRUPTOR PRINCIPAL DE 13,8KV Y SECCIONAMIENTOS DE LOS ALIMENTADORES</t>
  </si>
  <si>
    <t>CENTRO INDUSTRIAL</t>
  </si>
  <si>
    <t>10CI01</t>
  </si>
  <si>
    <t>SE PLANTEA EL HORARIO MOSTRADO DEBIDO AL TOQUE DE QUEDA QUE CULMINA 05H00</t>
  </si>
  <si>
    <t>Puesta en operación del T2 en subestacion Lodana, trabajos en subtransmision de cambio de cadenas de aisladores y correccion de puntos calientes</t>
  </si>
  <si>
    <t>PORTOVIEJO CELEC L6 - LODANA</t>
  </si>
  <si>
    <t>LODANA; CAZA LAGARTO; BELLAVISTA</t>
  </si>
  <si>
    <t>BABAHOYO, JUJAN</t>
  </si>
  <si>
    <t>REEMPLAZO DE SECCIONADORES TRIPOLARES DE POSICIÓN DE BARRA, BARRA DE TRANSFERENCIA Y ACOPLE DE POSICIÓN PASCULAES MANGLERO</t>
  </si>
  <si>
    <t>MANGLERO</t>
  </si>
  <si>
    <t>Samborondón</t>
  </si>
  <si>
    <t>POR DESCONEXIÓN DE SUBESTACIÓN PASCUALES DE TRANSELECTRIC</t>
  </si>
  <si>
    <t>APLOME DE POSTES EN LA LLEGADA A LA SUBESTACION DAULE SUR - POSTE DONDE SE TIENE UBICADO EL SECCIONAMIENTO DE INTERCONEXION ENTRE LST DAULE Y TAP BANIFE</t>
  </si>
  <si>
    <t>TAP KUBIEC Y TAP BANIFE</t>
  </si>
  <si>
    <t>Daule</t>
  </si>
  <si>
    <t xml:space="preserve">CAMBIO DE POSTES EN MAL ESTADO </t>
  </si>
  <si>
    <t>Isidro Ayora</t>
  </si>
  <si>
    <t>CAMBIO DE ESTRUCTURAS DE MEDIA TENSIÓN</t>
  </si>
  <si>
    <t>03_03_Camaron</t>
  </si>
  <si>
    <t>03EC030T14</t>
  </si>
  <si>
    <t>Trabajos en área rural, se consideró horario de menor impacto</t>
  </si>
  <si>
    <t>03_02_Salinas</t>
  </si>
  <si>
    <t>03GN020T12</t>
  </si>
  <si>
    <t>03_02_Simiatug</t>
  </si>
  <si>
    <t>03GN020T15</t>
  </si>
  <si>
    <t>DIVISIÓN DE CIRCUITOS EN MEDIA TENSIÓN</t>
  </si>
  <si>
    <t>03_06_Chillanes</t>
  </si>
  <si>
    <t>03SI060T11</t>
  </si>
  <si>
    <t>INCORPORACION DE RED DE MEDIA TENSIÓN</t>
  </si>
  <si>
    <t>03_06_San Pablo</t>
  </si>
  <si>
    <t>03SI060T12</t>
  </si>
  <si>
    <t>MONTAJE DE TRANSFORMADOR TRIFASICO Y TENDIDO DE RED PARA CENTRO DE RAYOS X</t>
  </si>
  <si>
    <t>03_02_Guanujo</t>
  </si>
  <si>
    <t>03GN020T13</t>
  </si>
  <si>
    <t>ALIMENTADOR CATARAMA, DERIVACIÓN MONOFÁSICA HACIA SECTOR LOS SAUCES, CAMBIO Y REUBICACIÓN DE POSTES EN RED DE MEDIA Y BAJA TENSIÓN, MIGRACIÓN DE RED DESNUDA A TIPO PRENSAMBLADA EN BAJA TENSIÓN, CAMBIO DE AISLAMIENTO</t>
  </si>
  <si>
    <t>CATARAMA</t>
  </si>
  <si>
    <t>10PU070T12</t>
  </si>
  <si>
    <t>SECTOR DE DIFICIL ACCESO, ZONA PELIGROSA.</t>
  </si>
  <si>
    <t>ALIMENTADOR TRIFASICO PUEBLOVIEJO CAMBIO DE ESTRUCTURAS Y AISLAMIENTO DESDE ESTERO HONDO HACIA PUERTO PECHICHE,</t>
  </si>
  <si>
    <t>PUEBLOVIEJO</t>
  </si>
  <si>
    <t>10PU070T11</t>
  </si>
  <si>
    <t>CAMBIO DE AISLADORES,ESTRUCTURAS Y POSTES</t>
  </si>
  <si>
    <t>PUEBLONUEVO</t>
  </si>
  <si>
    <t>10CI010T13</t>
  </si>
  <si>
    <t>TRABAJO EN SECTOR RURAL ZONA PELIGROSA</t>
  </si>
  <si>
    <t>CAMBIO DE BAJANTES DE PREEMSAMBLADO E INSTALACION DE PUESTA TIERRA</t>
  </si>
  <si>
    <t>VENTANAS CENTRO</t>
  </si>
  <si>
    <t>10VE090T12</t>
  </si>
  <si>
    <t>EL EQUIPO A INTERVENIR ESTA EN SU DEMANDA BAJA</t>
  </si>
  <si>
    <t>VENTANAS SUR</t>
  </si>
  <si>
    <t>10VE090T11</t>
  </si>
  <si>
    <t>CAMBIO DE ESTRUCTURAS Y AISLAMIENTO EN ALIM. ZAPOTAL</t>
  </si>
  <si>
    <t>ZAPOTAL</t>
  </si>
  <si>
    <t>10ER100T12</t>
  </si>
  <si>
    <t>DIA Y HORARIO DE BAJA DEMANDA SEGÚN EL HISTORICO DE CARGABILIDAD Y BUEN HORARIO PARA TRANFERIR CARGA CON ALIM. LECHUGAL</t>
  </si>
  <si>
    <t>CAMBIO DE RED CONVENCIONAL A RED PREENSAMBLADA EN CIRCUITO DE RED DE BAJA TENSION, QUINSALOMA, AV. 3 DE MAYO Y CALLE SIMON BOLIVAR</t>
  </si>
  <si>
    <t>QUINSALOMA</t>
  </si>
  <si>
    <t>10ER100T13</t>
  </si>
  <si>
    <t>MENOS DEMANDA EN EL HORARIO PLANIFICADO (DESCONEXION DE UN SOLO TRANSFORMADOR)</t>
  </si>
  <si>
    <t>INSTALACION DE ESTRIBO, PUESTA TIERRA Y CAMBIO DE BAJANTES DE PREEMSAMBLADO POR ESTAR EN MAL ESTADO</t>
  </si>
  <si>
    <t>INSTALACION DE ESTRIBO, PUESTA TIERRA Y CAMBIO DE BAJANTES DE PREEMSAMBLADO.</t>
  </si>
  <si>
    <t>INSTALACION DE PUESTA TIERRA</t>
  </si>
  <si>
    <t>INSTALACION DE PUESTA TIERRA Y CAMBIO DE BAJANTES DE COBRE POR MAL ESTADO</t>
  </si>
  <si>
    <t>INSTALACION DE PUESTA TIERRA Y SECCIONADOR</t>
  </si>
  <si>
    <t>INSTALACION DE SECCIONADOR, ESTRIBO, PUESTA TIERRA Y CAMBIO DE BAJANTES DE COBRE POR MAL ESTADO</t>
  </si>
  <si>
    <t>INSTALACION DE SECCIONADOR, PUESTA TIERRA Y CAMBIO DE BAJANTES DE PREEMSAMBLADO POR ESTAR EN MAL ESTADO</t>
  </si>
  <si>
    <t>INSTALACION DE SECCIONADOR, PUESTA TIERRA Y CAMBIO DE BAJANTES DE PREEMSAMBLADO.</t>
  </si>
  <si>
    <t>SE DEBE REALIZAR EL CAMBIO DE LA BAJANTES DE COBRE POR MAL ESTADO</t>
  </si>
  <si>
    <t>CORRECCION DE PUNTO CALIENTE Y CAMBIO DE SECCIONADOR BY PASS, 13.8 KV SE T3 PORTOVIEJO 1</t>
  </si>
  <si>
    <t>PORTOVIEJO 1 - T3</t>
  </si>
  <si>
    <t>No 05; 08; 10</t>
  </si>
  <si>
    <t>11P109</t>
  </si>
  <si>
    <t>DESCONEXION PROGRAMADA PARA REALIZAR TRABAJOS DE CONSTRUCCION, ESTRUCTURADO DE POSTES, TENDIDO Y AMARRADO DE CONDUCTOR 4/0 AWG, TRABAJOS PLANIFICADOS SERAN EJECUTADOS CON LA FINALIDAD DE GARANTIZAR LA CALIDAD DEL SERVICIO</t>
  </si>
  <si>
    <t>CHAMANGA</t>
  </si>
  <si>
    <t>08SA120T12</t>
  </si>
  <si>
    <t>Extensiones de red</t>
  </si>
  <si>
    <t>MOMPICHE</t>
  </si>
  <si>
    <t>08SA120T11</t>
  </si>
  <si>
    <t>CNEL GUAYAQUIL</t>
  </si>
  <si>
    <t>Mantenimiento a cuarto eléctrico</t>
  </si>
  <si>
    <t>04_06_Centro Park</t>
  </si>
  <si>
    <t>04AY060T14</t>
  </si>
  <si>
    <t>04_09_Malecon</t>
  </si>
  <si>
    <t>04BO090T12</t>
  </si>
  <si>
    <t>04_09_Rocafuerte</t>
  </si>
  <si>
    <t>04BO090T24</t>
  </si>
  <si>
    <t>ANOMALÍAS TÉRMICAS EN ENTRADA Y SALIDA DEL SECCIONADOR DEL ALIMENTADOR LORENZO DE GARAICOA, SALIDA MATA DE CACAO</t>
  </si>
  <si>
    <t>LORENZO DE GARAICOA</t>
  </si>
  <si>
    <t>12LG02</t>
  </si>
  <si>
    <t>Guayaquil</t>
  </si>
  <si>
    <t>CONEXIÓN DE BANCO DE CAPACITORES</t>
  </si>
  <si>
    <t>RIO BONITO</t>
  </si>
  <si>
    <t>07PA120T13</t>
  </si>
  <si>
    <t>Zona rural</t>
  </si>
  <si>
    <t>SABANA DE PAGUA</t>
  </si>
  <si>
    <t>07PA120T22</t>
  </si>
  <si>
    <t>MANTENIMIENTO PROGRAMADO POR EL TRANSMISOR EN LA L/T MACHALA - LA AVANZADA 230 kV C1</t>
  </si>
  <si>
    <t>LA AVANZADA</t>
  </si>
  <si>
    <t>SANTA ROSA</t>
  </si>
  <si>
    <t>07AV05</t>
  </si>
  <si>
    <t>Horario definido por el Transmisior y aceptado por el Cenace</t>
  </si>
  <si>
    <t>07SR07</t>
  </si>
  <si>
    <t>ARENILLAS
LAS LAJAS</t>
  </si>
  <si>
    <t>07AR09</t>
  </si>
  <si>
    <t>HUAQUILLAS</t>
  </si>
  <si>
    <t>07HU11</t>
  </si>
  <si>
    <t>SARACAY</t>
  </si>
  <si>
    <t>BALSAS
MARCABELÍ</t>
  </si>
  <si>
    <t>07SA14</t>
  </si>
  <si>
    <t>PORTOVELO</t>
  </si>
  <si>
    <t>PIÑAS
ATAHUALPA
ZARUMA
PORTOVELO</t>
  </si>
  <si>
    <t>07PO10</t>
  </si>
  <si>
    <t>Con desconexión de Transelectric</t>
  </si>
  <si>
    <t>Echeandia</t>
  </si>
  <si>
    <t>Bolívar</t>
  </si>
  <si>
    <t>Guaranda</t>
  </si>
  <si>
    <t>Simiatug</t>
  </si>
  <si>
    <t>Chillanes</t>
  </si>
  <si>
    <t>San Miguel</t>
  </si>
  <si>
    <t>MUISNE</t>
  </si>
  <si>
    <t>Simón Bolivar</t>
  </si>
  <si>
    <t>VENTANAS</t>
  </si>
  <si>
    <t>URDANETA</t>
  </si>
  <si>
    <t>CAMBIO DE ESTRUPTURAS Y CORRECCION DE ANOMALIAS TERMICAS</t>
  </si>
  <si>
    <t>MOCACHE</t>
  </si>
  <si>
    <t>09MC420T11</t>
  </si>
  <si>
    <t>CONSTRUCCION DE RED DE MEDIA TENSION SEGÚN CONTRATO CNEL-GLR-AJ-2025-022 “GLR REPOTENCIACIÓN DEL
 ALIMENTADOR VALENCIA ETAPA 1 TRAMO LA ESPERANZA HASTA EL SECCIONAMIENTO MARÍA
 FERNANDA, VÍA AL VERGEL GD”</t>
  </si>
  <si>
    <t>VALENCIA</t>
  </si>
  <si>
    <t>09VA140T13</t>
  </si>
  <si>
    <t>CORRECCION DE ANOMALIAS TERMICAS EN LA SUBESTACION EL ROSARIO</t>
  </si>
  <si>
    <t>ROSARIO</t>
  </si>
  <si>
    <t>09ER37</t>
  </si>
  <si>
    <t>CORRECCION DE ANOMALIAS TERMICAS EN LA SUBESTACION MOCACHE</t>
  </si>
  <si>
    <t>09MC42</t>
  </si>
  <si>
    <t>PARA REALIZAR LOS TRABAJOS SE REQUIERE LA LUZ DEL DÍA DEBIDO A QUE NO SE CUENTA CON SUFICIENTE ILUMINACION PARA REALIZAR LOS TRABAJOS Y LA PELIGROSIDAD DE LA ZONA</t>
  </si>
  <si>
    <t>CORRECCION DE ANOMALIAS TERMICAS EN LA SUBESTACION QUEVEDO SUR</t>
  </si>
  <si>
    <t>QUEVEDO SUR</t>
  </si>
  <si>
    <t>09QS10</t>
  </si>
  <si>
    <t>CORRECCION DE ANOMALIAS TERMICAS EN LA SUBESTACION VALENCIA</t>
  </si>
  <si>
    <t>09VA14</t>
  </si>
  <si>
    <t>PARA REALIZAR LOS TRABAJOS SE REQUIERE LA LUZ DEL DÍA DEBIDO A LA PELIGROSIDAD DE LA ZONA</t>
  </si>
  <si>
    <t>REEMPLAZO DE SECCIONADORES DE 69 KV EN POSICIÓN MANGLERO DE SUBESTACIÓN PASCUALES CELEC EP</t>
  </si>
  <si>
    <t>LST PASCUALES MANGLERO</t>
  </si>
  <si>
    <t>TRABAJOS PARA APROVECHAR DESCONEXIÓN DE SE PASCUALES CELEC EP</t>
  </si>
  <si>
    <t>MANTENIMIENTOS PROGRAMADOS CNEL EP - PLAN INVERNAL</t>
  </si>
  <si>
    <t>30 y 31 de mayo</t>
  </si>
  <si>
    <t>6 y 7 de junio</t>
  </si>
  <si>
    <t>menores a 2MW</t>
  </si>
  <si>
    <t xml:space="preserve">Nro. </t>
  </si>
  <si>
    <t>Etiquetas de fila</t>
  </si>
  <si>
    <t>Total general</t>
  </si>
  <si>
    <t>Cuenta de PROYECTO O DESCRIPCIÓN DE LOS TRABAJOS</t>
  </si>
  <si>
    <t>Suma de $ Valoración de los trabajos (materiales + Mano de obra)</t>
  </si>
  <si>
    <t>Suma de Clientes</t>
  </si>
  <si>
    <t>Suma de USD energia (por desconexión)</t>
  </si>
  <si>
    <t>Cantidad</t>
  </si>
  <si>
    <t>Valor $</t>
  </si>
  <si>
    <t>Clientes afectados</t>
  </si>
  <si>
    <t>Suma de Energía kW-h (por desconexión)}</t>
  </si>
  <si>
    <t>Unidad de Negocio</t>
  </si>
  <si>
    <t>$ por ENS</t>
  </si>
  <si>
    <t xml:space="preserve">ENS kW-h </t>
  </si>
  <si>
    <t>obs</t>
  </si>
  <si>
    <t>SECTORES AFECTADOS</t>
  </si>
  <si>
    <t>observación</t>
  </si>
  <si>
    <t>CALLE ROCAFUERTE ENTRE LOJA Y JULIAN CORONEL</t>
  </si>
  <si>
    <t>CALLE ROCAFUERTE ENTRE TOMAS MARTINEZ Y MENDIBURO</t>
  </si>
  <si>
    <t xml:space="preserve">Naranjal (Rocafuerte, Av Olmedo, 15 de Octubre y Guayaquil).
Naranjal (Av Olmedo, Panamericana y Hacienda 
Naranjal (Rocafuerte, Atahualpa, Guayacán, Eugenio Espejo y vía a Santa Rosa de Flandes).
Naranjal (Av. Olmedo, Panamericana, San Miguel, Hipólito González, Manuel Encalada Mora, Rio Amazonas, Cristo del Consuelo, Emilio González Peñaherrera, Gilbert Guzmán, Cooperativa Nueva Unión Campesina, Cooperativa 6 de Julio, El Paují, Once de Agosto, Recinto La Delicia, Cooperativa San Jacinto, Flor y Selva y Luz y Vida). </t>
  </si>
  <si>
    <t>Milagro (Las ciudadelas: Seguro Social, Milagro Norte, Chirijos, Ingenio Valdez, Valdez Antiguo, Sindicato de Empleados Valdez, Dager, Las Palmas, Rosa María, Las Margaritas, 22 de Noviembre y Javier Romero); vía Milagro-Chobo, vía Chobo-Yaguachi, El Cóndor, Chobo, Vuelta Larga y Nuevo Cóndor 2.
Milagro (Ingenio Valdez, las ciudadelas: San Francisco, Unidas, Nueva Unidad Norte, San José, Nueva Unidad Sur, Bellavista y La Floresta).AD27
Milagro (Las ciudadelas: Quinta Patricia, San Camilo, Dager, Los Cañaverales, Las Mercedes, Abdala Bucaram, 6 de Septiembre, Ernesto Seminario, Bosque Real 1, San Luis 1 y Las Piñas).</t>
  </si>
  <si>
    <t>Las Margaritas 1 - 2, Lister Andrade
Zona de los pozos de agua potable Chobo - El condor
EL CONDOR: PARROQUIA CHOBO; CHANDAY; EL BERDUN</t>
  </si>
  <si>
    <t>Las ciudadelas: Nuevo Milagro, Los Cañaverales, Brisas de Belín, La Constancia, Seguro Social, Milagro, Chirijos, Milagro Norte y Tomas Acuña.
Las ciudadelas: Nuevo Milagro, Rosa María y Elvia María; Av. Quito.
Shopping Milagro y sus alrededores.
Las ciudadelas: Cien Camas y San Miguel, Hospital de Seguro y sus alrededores.
Las ciudadelas: Los Pinos, San Miguel, Ernesto Seminario, Lotización San Miguel, Cien Camas, Los Garabatos, Ipanema, Mónaco y Tiwintza; y vía a Naranjito.
Ciudadelas Nuevo Milagro y Villas del IESS.
Estación de Bombeo</t>
  </si>
  <si>
    <t>Km 26, Av. Milagro, Autopista Durán, vía Milagro, Nueva Colonia, Buenos Aires, El Deseo, Vuelta Larga, Cone y 5 Junio.
Km 26-Autopista Durán Tambo, Av. Principal, Av. Naranjal, vía Km 26-El Triunfo, los recintos: Rio Viejo, La Codicia, Tendales y Cascajal.
Km 26-Autopista Durán Virgen de Fátima, Ala de Combate # 21 (Taura) y Boca de Corvina.</t>
  </si>
  <si>
    <t xml:space="preserve">Parroquia Lorenzo de Garaicoa, San Gregorio, Rio Chico, Flor Delino, Nueva Esperanza, Soledad, Rio Chico #1, Mata de Cacao, recinto Febres Cordero e Inés María.
Parroquia Lorenzo de Garaicoa, Santo Domingo y Simón Bolívar. </t>
  </si>
  <si>
    <t>Parroquia Chamanga, Parroquia Salima</t>
  </si>
  <si>
    <t>El León, Bolívar, Daule, Mompiche, Resort Royal Decameron Mompiche</t>
  </si>
  <si>
    <t xml:space="preserve">La  lagartero, 6 De junio, San Martín 1, San Martín 2, San Martín 3, centro de Viche; Malé, Uve, Y San Isidro, Agua fría, Río popa, Bellavista, Campamento, San Rufino, Chura,  Chivas, Chancama, Vinzade,  Palma Real, El Roto, Bolivar, Nueva Esperanza, Cube, Naranjal, La primavera, La Chile, La Peladita, Piedrita, Cheche, La Chorrera, Sociedad Lojana, Chucaple, El achiote, Monte olivo, San Carlos, Las delicias, Zazara, El Vergel, Mirador, Unión Manabita; Quinindé (Las Malvinas, El albe, El Salvador, Digue, El Chorro, La 20) / Esmeraldas (Chaupara, Majua, Bolívar, Palo Grande, La Cubera, Mata Palo, Cuquiva, Guayabo, Estero Seco, Tabuche, Santa Patricia, San Antonio, Buenos Aires, Chaflú, Chinca, Tabete, Chigue, El 30, Cotopaxi.) </t>
  </si>
  <si>
    <t>Municipio, Juan Carlos Guasti, Juventud progresista, Castelnuovo, Moran Valverde, Casas para todos, Sector el Torino, Nueva Esperanza, San Carlos,Jhon Pérez, Canaima,Villarica; Los Almendros, Patronato municipal, 4 de abril, Casas del Miduvi,Sector del Tia,Taseche adentro, Entrada Villa rica, Sector entrada al Club del Pacífico margen derecho  hasta Real pacific zona hotelera, La Pepsi, Eloy Alfaro, Nora Tello Chévere, Recinto Piedra fina, Motel Eva Chévere afuera Samanez; Centro de Atacames, Mira flores, Nueva Esperanza, vía a La Unión de Atacames, Las Brisas, La Lucha, Las Vegas, Tazone, Aguafria,Tronquero,Santa Teresa,El cacao, El Rosario y 5 Esquinas; Lotización Capitán Jiménez, El triunfo, Vista al Mar, Sector Tropicable,La perla Marimba, Peñón del suicida, la parroquias Súa, Serro san Juan y sus recintos Guachal, Muvchin, Angostura, La limonera vía same, La cumbia; Barrio las palmeras, Registro civil, Agencia Atacames de CNEL, sector del pika, Malecón del Rio, Malecón playa de Atacames, La bocana, Acacias, El Marques, La Granada;  Abdón calderon, Macará, Aguacate, La Mina, Crisanto, La Tablada, Nueva Union, Estero ancho, Cascajal,Bellavista, Recinto 7 de Agosto, - Tonchigüe, Rampiral, Same, Casa Blanca;  Atacames (Quitito, Unión Manabita)  /Muisne ( Galera, Galerita, Estero de Plátano, Quingüe, Caimito); Pueblo Nuevo, Palma Junta, El Salto, Vilsa, Sal si puedes, Valsalito, Contreras, El Tigre, Magdalena, San Salvador de los Chachis, San Gregorio, Ostional, El Zapote, Palma Real, Tres Vías; Ciudadela de Bunche, Bunche, Cabo de San Francisco, Tóngora, Tongorachí; Nuevo Muisne (El Relleno), Isla de Muisne, Las Manchas; El León, Bolívar, Daule, Mompiche, Resort Royal Decameron Mompiche; Parroquia Chamanga, Parroquia Salima</t>
  </si>
  <si>
    <t xml:space="preserve">Parroquia Crucita, Sitio Cerecito, via rocafuerte a portoviejo,  Parroquia Charapotó del cantón Sucre, balnearios San Jacinto y San Clemente, </t>
  </si>
  <si>
    <t>Calle América, Mercado Central, avenida 5 De Junio, Autopista Manabí Guillén (paso lateral), Museo Jaboncillo, urbanización Santa Gema, estadio Picoazá, cementerio Picoazá, ciudadela Fabián Palacios, colegio Teniente Hugo Ortíz, Centro de Control Manabí</t>
  </si>
  <si>
    <t>Los Gavilanes, barrio Jesús de Nazaret, urbanización Ciudad del Sol, urbanización Villareal, urbanización Manta Beach, Lomas de Barbasquillo, zona hotelera, plaza La Cuadra, Manta Host, Wydham, ciudadela Universitaria,  Umiña Tenis Club,  zona hotelera</t>
  </si>
  <si>
    <t>Sitio El Cady, sitio Estancia Vieja, INIAP, sitio Mapasingue, Parroquia Lodana, sitio Sasay, Quinta Maribel, avenida Luis Alberto Giler, picantería El Tiburón, Estación de Bombeo Caza Lagarto, Vía a Olmedo, sitio Visquije, sitio El Mate, sitio Taina, sitio Visquije en Medio, sitio Chamucame, Cabecera cantonal de Santa Ana, Estación de Bombeo Guarumo, parroquia Ayacucho, parroquia Honorato Vásquez, parroquia La Unión, parroquia Pueblo Nuevo, Poza Honda</t>
  </si>
  <si>
    <t>RECINTO LAS ANONAS, CEMENTERIO PEDRO CARBO, RECINTO BOCA DE GUANABANO, RECINTO LA CARMELA, SAN RAMON 2, RECINTO BUENAVENTURA, CENTRO, RECINTO CASA DE TEJA, RECINTO CEREZAL, RECINTO LA SAIBA DEL VALLE, RECINTO LAS PLANCHADAS, RECINTO JERUSALEN DE ABAJO, BACHILLERO - FATIMA, RECINTO BALSAMO, RECINTO PROCEL DE ARRIBA, RECINTO PROCEL DE LA FORTUNA, CENTRO, CENTRO, ENTRADA A P. CARBO 2, GUAYAQUIL, SAN JOSÉ, PARROQ. VALLE DE LA VIRGEN, RECINTO FATIMA, RECINTO FATIMA, RECINTO PARAISO - QUISQUIZAL, RECINTO CAÑA BRAVA, EL ORO 2, SAN JACINTO-SANTA ROSA 2, RECINTO BAQUERANO, RECINTO EL JEBE VIA A PEPA DE ORO, RECINTO EL JEBE, RECINTO POTRERILLO, RECINTO LA SASTRA, SAN JACINTO-SANTA ROSA, EL ORO, MARTHA BUCARAM-CRISTO CONS. 2, CENTRO DE ACOPIO PEDRO CARBO, CENTRO DE SALUD TIPO C PEDRO CARBO, RECINTO AMANCAYALES, RECINTO LA SAIBA DEL VALLE, CAS PEDRO CARBO, RECINTO BOTIJA, RECINTO LA ESTACADA, RECINTO CARRIZAL, RECINTO POTRERILLO, RECINTO EL BAJO, RECINTO VILLAO, PARROQ. VALLE DE LA VIRGEN 1, SANTA CRUZ-SANTA MARIA, GUAYAQUIL 2, SAN JOSE 2, RECINTO LOMAS PERDIDAS, ENTRADA A P. CARBO - L. IZQUIE, RECINTO ESTERO DE PIEDRA, PARROQ. SABANILLA CENTRO, SABANILLA (LD) SECT-BUENA FE, CONDOMINIOS SANTA CRUZ-SANTA MARIA 2, RECINTO LA CARMELA, RECINTO BEJUCO DE MARIA, RECINTO JERUSALEN, RECINTO BALZARES, RECINTO LOS CORAZONES, RECINTO BARRANCO AMARILLO, ISIDRO AYORA, GOBIERNO AUTONOMO DESCENTRALIZADO, FISCALIA PEDRO CARBO, ESCUELA AGUA CLARA, RECINTO SAN ALEJO, RECINTO ZAMORA NUEVA, RECINTO LA CARMELA, RECINTO LA ESTACADA, RECINTO FATIMA, RECINTO SAN PEDRO VILLAO, RECINTO LAS PALMAS, RECINTO CAÑAR COMÚN, AVISID, RECINTO LAS PALMAS, RECINTO LAS PALMAS, ESCUELA 2 DE AGOSTO, RECINTO LA CHONTA, CENTRO 2, RECINTO FATIMA, RECINTO CASCAJAL, RECINTO CASA DE TEJA, RECINTO AMANCAYALES, RECINTO BARRANCO AMARILLO, RECINTO LA ESTACADA, PARQUE LINEAL, RECINTO EL GUASMITO, IGLESIA IPUHE - PEDRO CARBO, RECINTO LA SAIBA DEL VALLE, ISIDRO AYORA - BACHILLERO, RECINTO LA ESTACADA, RECINTO JERUSALEN DE ABAJO, RECINTO CAROLINA DEL NORTE, CENTRO 2, RECINTO ROSA DE ORO, REGISTRO CIVIL, ESCUELA AMARILIS FUENTES, SAN JOSE 2, SAN JACINTO-SANTA ROSA, MARTHA BUCARAM Y CRISTO/CONSU, ENTRADA A P. CARBO - L. IZQUIE, PARROQ. SABANILLA CENTRO 2, SABANILLA-SECTOR BUENA FE 2, PROYECTO HAB CASA PARA TODOS, RECINTO BACHILLERO</t>
  </si>
  <si>
    <t>L1: 
URBANIZACION LA RIVIERA, RECINTO AMPLIACION JUNQUILLAL, URBANIZACION EL CORTIJO, RECINTO LA RESISTENCIA, SUBESTACION CNEL GLR - ISLA MOCOLI, REDONDEL INGRESO A ISLA MOCOLI, URBANIZACION MOCOLÍ GOLF CLUB -ISLA MOCOLI, URBANIZACION MOCOLÍ GARDENS -ISLA MOCOLI, NELSON MARKET, C.C PLAZA CELESTE, SOLAR VACIO, URBANIZACION VISCAYA II, HOSPITAL DE ESPECIALIDADES, URBANIZACION LA BRISA-CIUDAD CELESTE, URBANIZACION ESTANCIAS DEL RIO, URBANIZACION ATENEA -ISLA MOCOLI, URBANIZACION ARRECIFE-ISLA MOCOLI, URBANIZACION EL PARQUE -ISLA MOCOLI, SOLAR VACIO, ACADEMIA DE TAEKWONDO XAVIER ROMERO, SOLAR VACIO, SOLAR VACIO, SOLAR VACIO, SOLAR VACIO, SOLAR VACIO, SOLAR VACIO, AVENIDA SAMBORONDON - KM 4, VIA LA T DE SALITRE - KM 3, URBANIZACION JARDINES DEL VALLE, URBANIZACION LA BARRANCA, RECINTO GUARUMAL, RECINTO BAJO GRANDE, AVENIDA A LA BARRANCA, URBANIZACION CASTELAGO, PALO COLORADO SECTOR 1, URBANIZACION LA MARINA-CIUDAD CELESTE, SOLAR VACIO JUNTO A RYO 600, SOLAR VACIO, LOTIZACION FUNDO MANGLERO, SOLAR VACIO, LOCALES JUNTO A CATALUÑA, SOLAR VACIO, RECINTO SAN GUILLERMO, SOLAR VACIO, AVENIDA LEON FEBRES CORDERO RIVADENEYRA - KM 2, AVENIDA SAMBORONDON - KM 9, AVENIDA SAMBORONDON - KM 6, VIA LA T DE SALITRE - KM 4, SALIDA AL PUENTE SAUCES 6, URBANIZACION SAN ANTONIO, U.E. DELTA, EDIFICIO GLOBAL CENTER, URBANIZACION PALMAR DEL RIO, RECINTO SAN GUILLERMO, URBANIZACION RIO LINDO, URBANIZACION TERRASOL, RECINTO TRINIDAD POTRERILLO, SOLAR VACIO, SOLAR VACIO, LOTIZACION MANGLERO, SOLAR VACIO - CERRO ATRAS DE ANGEL DUARTE, HYUNDAI CASA DE VEHICULOS, MUNICIPIO DE SAMBORONDON- AGENCIA LA PUNTILLA, VERMONT PLAZA, BODEGAS LIVANSUD, SOLAR VACIO, SOLAR VACIO, VIA LA T DE SALITRE - KM O, VIA LA T DE SALITRE - KM 5, URBANIZACION CASA LAGUNA ETAPA BOSCANA, ALMACENES BOYACA, URBANIZACION BARLOVENTO-ISLA MOCOLI, ALAMEDA CLUB, ESCUELA DE FUTBALL RIVER PLATE VIA A SALITRE, RECINTO GUARUMAL, URBANIZACION COSTA AZUL, RECINTO SABANILLA - BARRANCO, URBANIZACION AIRES DEL BATÁN 1, 2, 3, 4 y 5, URBANIZACION CIUDAD DEL VALLE, URBANIZACION BRITANIA I, RECINTO SABANA GRANDE, URBANIZACION ISLALAGO, ARROCERA "EL REY", URBANIZACION ZAFIRO-MATICES, URBANIZACION AMALFI, UNIDAD EDUCATIVA LICEO PANAMERICANO, BANCO BOLIVARIANO, MARINA D´OR PARK, VALLE NORTE 1,2 y 3, URBANIZACION AIRES NORTE, URB LA PERLA-MATICES, PIAMONTE, LOTIZACION MANGLEROS, C.C EL DORADO, URBANIZACION ENTRELAGOS, URB DIAMANTE-MATICES, URBANIZACION TORRES DE MÓNACO -ISLA MOCOLI, URBANIZACION LA CASTELLANA, RECINTO SABANA GRANDE, URBANIZACION RIBERA DE BATÁN, PALO COLORADO SECTOR 2, EDIFICIO TOPACIO, LUBRICADORA DON GEOVA, URBANIZACION LUGANO, CIUDADELA EL BUIJO, URBANIZACION LA CASCADA, IGLESIA BIBLICA PACTO DE GRACIA, URBANIZACION VISCAYA, BICEREPUESTOS C.C., IGLESIA JESUCRISTO SUD, AFFARI BUIJO, RECINTO GUARUMAL, CONJUNTO RESIDENCIAL ROSADELIA, URBANIZACION VEREDA DEL RIO, RECINTO BRAMADERO, JUNQUILLAL, SOLAR VACIO ATRAS DE LAGUNA DEL SOL, AVENIDA PRINCIPAL DE CIUDAD CELESTE, THE BLOCK, SOLAR VACIO, RECINTO GUARUMAL, LA GLORIA, URBANIZACION PARQUES DEL BATAN, EDIFICIO RIU, URBANIZACION LA MORALEJA, URBANIZACION CARLOTTA DE GRAN VICTTORIA, UNIDAD BILINGUE DUPLOS, URBANIZACION COMPOSTELA, CONDOMINIO MANRESA, URBANIZACION LOGARE, LAGUNA AZUL, URBANIZACION SOTILEZA -ISLA MOCOLI, URBANIZACION BLUE BAY -ISLA MOCOLI, RECINTO MONTE DE MONO, COMPLEJO RESIDENCIAL BUSTAMANTE, RECINTO SAN JOSE, SOLAR VACIO, URBANIZACION SOTAVENTO -ISLA MOCOLI, URBANIZACION PUERTO MOCOLI -ISLA MOCOLI, URBANIZACION DUBAI-ISLA MOCOLI, SUBESTACION MANGLEROS, LA AURORA MZ 77, URBANIZACION MANGLERO MZ Y SOLAR 3, COMUNA SAN NICOLAS, SOLAR VACIO, URBANIZACION VILANOVA, SOLAR VACIO, AVENIDA SAMBORONDON - KM 10, VIA LA T DE SALITRE - KM 2, URB AZUL TOPACIO-MATICES, INMOBILIARIA XANDU, URBANIZACION SAVONA, CENTRO COMERCIAL JARDINES PLAZA, AMPLIACION BELDACA, C.C. PLAZA BATÁN, URBANIZACION MALLORCA VILLAGE, CONDOMINIOS VENTURA, URBANIZACION BELLAGIO, VIVERO LUIS Y ANA, PRIMAX - GRAN GUAYAQUIL, URBANIZACION DELAGO, URBANIZACION VISTA AL PARQUE, RECINTO MONTE DE MONO 1, RIOCENTRO CIUDAD CELESTE, Santuario de Schoenstatt Ciudad Celeste, AVENIDA PRINCIAPL EL BUIJO HISTORICO, RECINTO PALO DE IGUANA, BUIJO CITY CENTER, RECINTO VOLUNTAD DE DIOS VIA SALITRE JUNTO A MAYORCA, URBANIZACION ALAMEDA DEL RÍO, URBANIZACION CATALUÑA, URBANIZACION SINGAPUR, CONDOMINIO PUERTA DE HIERRO, RECINTO LA BELDACA, DAULE SECTOR LA "T", RECINTO YULAN TRINIDAD POTRERILLO, URBANIZACION ISLA DEL RIO -ISLA MOCOLI, URBANIZACION LA ENSENADA -ISLA MOCOLI, URBANIZACION MORIÁH - ISLA MOCOLI, SOLAR VACIO, EDIFICIO PLATINUM, URBANIZACION LA CORALIA-CIUDAD CELESTE, URBANIZACION MIRASOL, URBANIZACION LA SERENA-CIUDAD CELESTE, URBANIZACION LA DORADA-CIUDAD CELESTE, URBANIZACION LA CRISTALINA-CIUDAD CELESTE, URBANIZACION BRISAS DEL NORTE, AVENIDA PRINCIPAL DE CIUDAD CELESTE, CUERPO DE BOMBEROS DE LA PUNTILLA, SUBESTACION 2 CERRITOS, SOLAR VACIO, AVENIDA LEON FEBRES CORDERO RIVADENEYRA - KM 1, URBANIZACION SAN ISIDRO, CENTRO DE ESPECIALIDADES CIUDAD SALUD, URBANIZACION MADEIRA, URBANIZACION CASALAGO, URBANIZACION TORRES DEL SOL, URBANIZACION GRANOLLER, LOTIZACION EL TRANSITO, RIVERSIDE VENTAS, URBANIZACION ARBOLETTA, LA ESPAÑOLA SAMBORONDON, C.C. PLAZA LAGOS, C.C. LAGOS TOWN CENTER, NUEVO MILENIO, URBANIZACION GUAYAQUIL TENIS, URBANIZACION LAGOSOL, PLAZA MILAN, RECINTO EL GUABITO, RECINTO SAN JOSE, RECINTO GUARUMAL, URBANIZACION MALAGA 1, EDIFICIO RYO 600, RECINTO GUARUMAL, RECINTO LA BELDACA, RECINTO LA BELDACA, RECINTO LA RESISTENCIA, RECINTO SABANA GRANDE, URBANIZACION BONAIRE, URBANIZACION BRITANIA II, URBANIZACION NAPOLI, URBANIZACION MANGLERO, RECINTO GUARUMAL, RECINTO CHAPINERO, PRIMAX VIA SALITRE, RCTO LAS CANDELARIAS, RCTO LAS CANDELARIAS, RCTO LAS CANDELARIAS, ANEXO GUAYAQUIL TENNIS CLUB, BANCO DEL AUSTRO, INNOVA CENTRO CERAMICO LA AURORA, TORNO Y SOLADURA ELECTRO Y MECANICA, RCTO LAS CANDELARIAS, GUAYAQUIL COUNTRY CLUB, URBANIZACION LA LAGUNA, C.C PIAZZA DE CIUDAD CELESTE, URBANIZACION LA PENINSULA CC, UNIDAD EDUCATIVA COLEGIO ALEMÁN HUMBOLDT, RECINTO CASA DE TEJAS, SOLAR VACIO, C.C VISCAYA PLAZA, SOLAR VACIO, AVENIDA SAMBORONDON - KM 8, CASA FERNANDEZ, URBANIZACION RIOLAGO, URBANIZACION LURIOSA, URB AQUAMARINA-MATICES, URBANIZACION AIRES DEL RÍO, RECINTO LA SEQUILLA, CDLA LAS MALVINAS, URBANIZACION LA PENINSULA-ISLA MOCOLI, URBANIZACION VISTASOL, URBANIZACION LA RIA-CIUDAD CELESTE, IGLESIA ISRAEL CASA DE PAZ, URBANIZACION SAVALI, EDIFICIO RIVER TOWERS, RECINTO GUARUMAL, URBANIZACION JARDINES PARQUE MAGNO, JARDINES DE PARQUE MAGNO ETAPA FUENTES, EL BUIJO, RECINTO SAN JOSE, RECINTO LA RESISTENCIA, URBANIZACION LAGUNA DEL SOL, DRIVING RANGE, FOOTGOLF &amp; GOLF CLUB, UNIDAD EDUCATIVA BILINGUE TEJAR, ANGEL DUARTE, MALAGA 2, DISENSA, CLUB CAMPESTRE DE LA ARMADA, RECINTO EL EMBARCADERO, URBANIZACION LA MARTINA -ISLA MOCOLI, URBANIZACION LISOLA -ISLA MOCOLI, PARQUE BICENTENARIO, URBANIZACION LA ARBOLEDA, UNIDAD EDUCATIVA BILINGÜE SOLER, URBANIZACION PACIFICA -ISLA MOCOLI, URBANIZACION ICON BAY -ISLA MOCOLI, EDIFICIO RYO 600, SOLAR VACIO, LA AURORA, AVENIDA ELIAS DAU BRIONES, SOLAR VACIO, SOLAR VACIO, SOLAR VACIO, SOLAR VACIO, SOLAR VACIO, SUPERMERCADO EL CORAL, SOLAR VACIO, SOLAR VACIO, VIA LA T DE SALITRE - KM 1, AVENIDA SAMBORONDON - KM 7, AVENIDA PRINCIPAL - ISLA MOCOLI, INGRESO A ISLA MOCOLI, SOLAR VACIO, URBANIZACION GRAN VITORIAETAPA VIOLETA, SOLAR VACIO, SOLAR VACIO, AVENIDA SAMBORONDON - KM 5, URBANIZACION CIUDAD CELESTE ETAPA LA COSTANERA, URBANIZACION LA DELICIA, URBANIZACION SAN SEBASTIAN, COMPLEJO DEPORTIVO COLEGIO DE ABOGADOS, URB VERDE ESMERALDAS-MATICES, LA AURORA, SOLAR VACIO, C.C. PLAZA NAVONA, RECINTO SAN JOSE, URBANIZACION LA DELFINA-CIUDAD CELESTE, URBANIZACION LA ESTELA-CIUDAD CELESTE, URBANIZACION ESTRIBOR-CIUDAD CELESTE, UNIDAD EDUCATIVA COLEGIO MENOR SAMBORONDÓN, IMPORMEL, IMPORTADORA EL MILLON, FUENTES DEL RIO, BONATERRA
L2:
UESS SAMBORONDON, CNT AGENCIA LA PUNTILLA, LIFE STYLE CENTER, AVENIDA SAMBORONDON - KM 0, GASOLINERA SHELL, URBANIZACION PALMA VICTORIA, URBANIZACION VILLAREAL, BANCO DEL PACIFICO, AUTOS TOYOCOSTA, CONDOMINIOS LOS CEDROS, SUPERMERCADO DELPORTAL (LA MODERNA TOWN CENTER), CONDOMINIO VERONA 2, URBANIZACION PALMA MAYORCA, URBANIZACION MARALAGO, UNIVERSIDAD UESS SAMBORONDON, INGRESO AL IPAC- NACIONES UNIDAS, UNIDAD EDUCATIVA IPAC, LA CASA DEL MAESTRO CATOLICO, DON PARRILLA, AVENIDA SAMBORONDON - KM 2, C.C. BOCCA, CONDOMINIO SANTA MARÍA 2, RIONA APARTAMENTOS, CONDOMINIOS ARANDA DEL RIO, PRIMAX PUNTILLA, CONDOMINIO SAN BERNARDO III, NUEVO MUNDO EDUCACION INICIAL, URBANIZACION RINCONADA DEL LAGO, C.C LA PIAZZA ENTRERIOS, PLAZA DEL PORTAL, MC. DONALDS, CONDOMINIO CAPELLA, LA QUINTA DE TORNERO, URBANIZACION PLAZA REAL, URBANIZACION LOS LAGOS, URBANIZACION MONTELIMAR II, URBANIACION PARQUES DEL RIO, EDIFICIO XIMA, C.C. LA TORRE, COMPLEJO DEPORTIVO UESS, URBANIZACION EL TORNERO 3, SAINT CLAIRE, CONDOMINIO BALEARIA, CONDOMINIO FLORENCIA, C.C. LOS ARCOS, EDIFICIO RIVERSIDE, URBANIZACION PORTO ACQUA, 104 BOUGANVILLE, URBANIZACION VILLA DEL SOL, URBANIZACION EL PRADO, PARQUE HISTORICO, ALLIANCE FRANCAISE, URBANIZACION RIVER PARK, URBANIZACION BOSQUES DE CASTILLA, URBANIZACION PUERTA AL RIO, URBANIZACION TERRANOVA, CONDOMINIO LA GIRALDA, CONDOMINIO SAN BERNARDO II, URBANIZACION ENTRE OLIVOS, C.C. RIOCENTRO, UNIDAD EDUCATIVA NACIONES UNIDAS, EDIFICIO RIO PLAZA, URBANIZACION LAGUNA DORADA, LOTIZACION SANTIAGO, URBANIZACION LA PUNTILLA, URBANIZACION BOREAL - SECTOR TORNERO, STA. MARÍA 3, URBANIZACION ESMERALDA DEL RÍO, RIVIERA CLUB, URBANIZACION SENDERO DEL RÍO, URBANIZACION TORNERO DEL RÍO, CONJUNTO RESIDENCIAL SAN BERNARDO I, CONJUNTO RESIDENCIAL CAPELLA II, URBANIZACION CENTRAL PARK, DON PARRILLA, CONDOMINIO SANTA LUCIA, SOLAR VACIO JUNTO A BELICE, URBANIZACION KANOPUS II, REDONDEL LA PUNTILLA, EDIFICIO ESMERALDAS - ENTRERIOS, GARACE DE SPORT GARDEN ENTRERIOS, URBANIZACION TOSCANA, URBANIZACION TORRES DEL RIO, C.C. MODERNA PLAZA, URBANIZACION SANTA FÉ, CONDOMINIO LIZ, PRIMAX LA MODERNA, URBANIZACION FLOR DEL RIO, C.C. DIANA QUINTANA, URBANIZACION ACRÓPOLIS, CONDOMIO ARRAYANES, URBANIZACION AQUAMARINA, CLUB DEPORTIVO DIANA QUINTANA, CONDOMINIO LAS CONDES, URBANIZACION ENTRERÍOS, CONDOMINIO SAN JOSÉ, S/E LOS ARCOS CNEL GLR, DON PARRILLA, CAMINO REAL, CONDOMINNIO JADE, C.C OPEN PLAZA, TEATRO SANCHEZ AGUILAR, URBANIZACION IBIZA, CONDOMINIO LA MIRAGE, URBANIZACION PÓRTICOS DEL RÍO, URBANIZACION MONTERREY, URBANIZACION VISTA AL RÍO, URBANIZACION ATLANTIS, URBANIZACION FONTANA, C.C. VILLAGE PLAZA, CONDOMINIO SANTA MARIA 4, URBANIZACION EL RIO, EDIFICIO BARROCO, C.C. BUENA VISTA, C.C. ALHAMBRA, SOCIEDAD ESPAÑOLA, URBANIZACION SUL BIBLOS, SUBESTACION TENIS CLUB, C.C. MARBOL GREEN PLAZA, CONDOMINIO PALERMO, CLUB PELÍKANO TORNERO, URBANIZACION RIONA, HOSPITAL CLÍNICA KENNEDY SAMBORONDÓN, URBANIZACION SAN ANDRES, CONDOMINIO VERONA 1, URBANIZACION CASAS DE TRIANA, URBANIZACION PARQUE MAGNO, URBANIZACION ISLA SOL, URBANIZACION VELEROS DEL RIO, URBANIZACION VILLANUEVA, URBANIZACION MANGLERO VISTA, CONDOMINIO CAPRI, CONDOMINIO TAORMINA, URBANIZACION BELICE, UNIDAD EDUCATIVA BILINGÜE INTERNACIONAL LA MODERNA, URBANIACION CLARIANA, URBANIZACION RIO GRANDE, CONDOMINIO PASEO DEL SOL, CONDOMINIO ANAHI, C.C. LAS TERRAZAS, CONDOMINIO EL ÁLAMO, IGLESIA CATOLICA SANTA TERESITA DEL NIÑO JESUS, FUNDACION SANTA TERESITA, DIANA QUINTANA, TORNERO 3 MZ K S 6 DEPARTAMENTOS Y COMERCIO, CORREDOR XIMA - CLINICA KENNEDY, EDIFICIO COSTA VERDE, AVENIDA SAMBORONDON - KM 3, C.C PRISMA, C.C. PLAZA NOVA, URBANIZACION RIO SOL TOWERS, URBANIZACION LAS RIBERAS, PLAZA DE COMIDAS FOOD GARDEN- ENTRERIOS, URBANIZACION TORNERO 3 G12, AVENIDA SAMBORONDON - KM 1, EL QUINTANAR, CONDOMINIOS SANTA LUCIA, URBANIZACION PASEO DE LA ALAMEDA, UNIDAD EDUCATIVA CREAR, URBANIZACION BOSQUES DE LA RIOJA, URBANIZACION CAMINO DEL RÍO, CONDONMIO TAORMINA 2, U.E. BILINGÜE NUEVO MUNDO, CASA MARKANA, C.C. SAMBORONDON PLAZA, URBANIZACION EL ÁLAMO, URBANIZACION LAS PIRAMIDES, URBANIZACION CAPELLA I, CONDOMINIO SANTA MARIA 1
L5:
SAUCES-LAS CAÑITAS, RECINTO LEGUAS GRANDES, BARRIO COLIMES, RECINTO CHONANA, RECINTO JUNQUILLO, RECINTO BARBASCO DE ABAJO, RECINTO PALO SECO, RECINTO LEON MINAS, RECINTO SEMIRA, RECINTO JUNQUILLO 1, RECINTO NUEVA ESPERANZA, RECINTO ABRAS DE CANELA, CIUDADELA UBALDO URQUIZO, RECINTO MAJADA, ZONA RURAL 5, RECINTO SAN VICENTE DE ADENTRO, BARRIO COLIMES, CENTRO DE BALZAR, CENTRO DE BALZAR 2, ESTACION DE BOMBEO AMERICA, CENTRO DE BALZAR, RECINTO LAS VILLAS, ZONA RURAL LAUREL 1, RECINTO VERSALLES, RECINTO MOROCHO VIA LA PELEA, RECINTO RANCHO PALMA, ENTRADA A BALZAR 2, RECINTO SAN NICOLAS, RECINTO PAPAYALES, RECINTO LOS JASMINEZ DE AR, RECINTO JUNQUILLAL 2, RECINTO PAVANA, RECINTO LA YUCA, CIUDADELA LOS NARANJOS, RECINTO EL CERRITO, RECINTO PALESTINA, CIUDADELA PATRIA LIBRE, RECINTO GUACHAPELI, RECINTO PERPETUA, RECINTO ABRAS LAS GUAYAS, RECINTO LA JUDITH, ZONA RURAL LAUREL 2, RECINTO ESTERO LOCO, RECINTO ESTERO LOCO, RECINTO ROSA ELENA, RECINTO LA YUCA, RECINTO ROSA ELENA, RECINTO EL RETIRO, RECINTO TIJIGUAL, RECINTO PORVENIR, SECTOR EL GUABITO, RCTO.MATA PALO, FALDAS DE CERRO RCT JULIA MARIA, RECINTO LAS MERCEDES, CIUDADELA LAS RIBERAS - SANTA LUCIA, SECTOR DEL RECINTO BOCANA DE ABAJO VIA A SAMBORONDON, FALDAS DEL CERRO, RECINTO DON BOSCO, RECINTO EL PESCADO, SANTA LUCÍA ZONA RURAL 2, CIUDADELA ELOY ALFARO, CENTRO DE BALZAR, RECINTO LA GRUTA, RECINTO MOROCHO, RECINTO PIÑAL, RECINTO POTRERITO, RECINTO TRES MARIAS, CDLA LA VOZ DE SANTA LUCIA, SECTOR LA BRASILIA DEL RECINTO LA GUAYAQUIL, RECINTO MEMBRILLAL, RECINTO PIÑAL ARRIBA, RECINTO SANTA MARIANITA, RECINTO RÍO SECO, CIUDADELA SAN JOSE, RECINTO JUNQUILLAL, RECINTO EL CORREDOR, RECINTO TINTAL DE ADENTRO, RECINTO LA FLORIDA, SANTA LUCÍA ZONA RURAL 3, RECINTO LAS PIEDRAS, RECINTO EL GUAYABO, RECINTO NUEVA CORONA, DESVIO A COLIMES Y MUELLE, RECINTO ABRAS DE LIMÓN 1, BUENOS AIRES, RECINTO TIJIGUAL - LA PALMA, RECINTO GUACHAPELI, RECINTO SAN LORENZO, RECINTO SOBERANA, RECINTO LA ALBORADA, SANTA LUCÍA ZONA RURAL 4, RECINTO LA VIRTUD, RECINTO SAN EDUARDO-RCTO.BOQUERON, RECINTO CRUCITA COMPONA, RECINTO JUDIPA, PILADORA YANCO-DAULE, BARRIO PAJUI, RECINTO TRES MARIAS, CENTRO DE BALZAR 2, RECINTO EL RONCADOR, RECINTO JUNQUILLO 2, RECINTO SARTANEJAL, RECINTO AMERICA, RECINTO LA PAZ VIA A LA VICTORIA, RECINTO EL CERRITO, RECINTO PLAYAS DE JUDIPA, RECINTO TINTAL, RECINTO PLAYONES, LAS PIEDRAS LOS AMARILLO4, RECINTO EL LAUREL 1, RECINTO NUEVA ESPERANZA, SECTOR LAS CAÑAS JUANAS, RECINTO VENECIA, RECINTO HIGUERON, CENTRO DE COLIMES 2, CIUDADELA 3 DE ABRIL, RECINTO NEGRO VIEJO-SAN PALERMO, RECINTO LA CABULLA 3, RECINTO TIERRA SECA, RECINTO LAS PEÑAS, RECINTO EL PIGIO 1, RECINTO BEBO, MUNICIPIO DE BALZAR, SAN JACINTO, AVENIDA 4 DE OCTUBRE, RECINTO PROVIDENCIA, RECINTO LA RESERVA, RECINTO LA TACHUELA, RECINTO LA CABULLA 2, RECINTO LA INDUSTRIA, CIUDADELA LAS LOMAS, EMPRESA PUBLICA MUNICIPAL DE TRANSITO Y MOVILIDAD, RECINTO GALAPAGOS, RECINTO LA ALEGRÍA, RECINTO 14 DE OCTUBRE, COOPERATIVA SAN FELIPE -RCTO.SAN JOSE, RECINTO JUNQUILLO 3, AGROINDUSTRIA EL MUÑECO S.A., RECINTO BEBO, RECINTO LA ALBORADA DAULE, RECINTO ESTERO DE LAGARTO, BOCANA, RECINTO SARTANEJAL, RECINTO LIMONAL, RECINTO EL GUAYABO, RECINTO LA DELIA, BARRIO SAMANES- SANTA LUCIA, CIUDADELA 16 DE JUNIO, RECINTO YUMES, RECINTO RINCON LARGO, RECINTO LA AGUEDITA, RECINTO SAN CLEMENTE, RECINTO NUENA ILUSION, ZONA RURAL LAUREL 2, RECINTO CABUYAL, CIUDADELA XAVIER, COOPERATIVA JORGE LUIS CORNEJO 2, ZONA RURAL PALESTINA, RECINTO EL GUAYABO, ENTRADA A BALZAR, BARRIO COLIMES, RECINTO LA RESERVA, RECINTO CAMPO LINDO, RECINTO LA CABULLA, RECINTO SAN NICOLAS, RECINTO GUAYAQUIL, RECINTO LA VICTORIA, RECINTO BRASILIA, RECINTO LA PITAHAYA, VIA BALZAR LA GUAYAQUIL4, RECINTO EL LAUREL, RECINTO PEÑASCO, CIUDADELA NUEVO PORVENIR, RECINTO EL MAMEY, RECINTO LA VUELTA 2, RECINTO LOS LIMOS, SECTOR PAMPAS-LAS PIÑITAS, RECINTO ISLA DE CABUYAL, RECINTO ESTERO DE LAGARTO, RECINTO DESQUITE, RECINTO LA MARIA - LAS COLEMBAS, RECINTO CANDILEJAS, RECINTO CHIGUIJO, PILADORA YANCO-DAULE, RECINTO LA YUCA, RECINTO DIBUJO / JAVITAL, RECINTO LA RINCONADA, RECINTO PICADURA, RECINTO SAN NICOLAS 1, RECINTO LOS SAUCES, BARRIO PAJUI, RECINTO ESPINAL, RECINTO EL LIMON (FERUM 2003), SECTOR EL PARAISO-COLIMES, RECINTO NUEVA ESPERANZA, RECINTO MACUL, TECNICENTRO UNION, CIUDADELA SAN JAVIER- SANTA LUCIA, RECINTO BOCA / GUABITO - GUABITO, RECINTO EL RELICARIO-BALZAR, RECINTO ISLA DE CABUYAL, NUEVA ESPERANZA, RECINTO LOS ANGELES, RECINTO GUACHAPELI, EL MOROCHAL, SANTA LUCÍA ZONA RURAL, BARRIO LINDO-BALZAR, RECINTO MACULILLO, RECINTO LOS MEMBRILLOS, RECINTO CORONA SAN JACINTO, RECINTO POTOSI, DIPOR-DAULE, RECINTO SAN FELIPE, RECINTO AGUAS BALANCAS, ZONA RURAL LAUREL, CENTRO DE BALZAR 2, VIRGEN DEL CARMEN 2, EL PARAISO 2, RECINTO CHE GUEVARA, RECINTO SAN JCTO. DE ESTE (RÍO), RECINTO CAÑAS DE SAN JUÁN, RECINTO LAS JAGUITAS - RANCHO QUEMADO, RECINTO MARIA VICTORIA, RECINTO ROMPEHATO, RECINTO LA VENGANZA, VIA A VERNAZA-SAN ISIDRO-3 MARIAS, ZONA RURAL PALESTINA, ZONA RURAL PALESTINA, UREM DAULE, RECINTO LA CONCEPCION, RECINTO LOS AMARILLOS - SAN FRAN, CIUDADELA 5 DE JUNIO- SANTA LUCIA, CIUDADELA SAN RAMON, COOPERATIVA JORGE LUIS CORNEJO, RECINTO LAS PIEDRAS, CIUDADELA LA FLORESTA-SANTA LUCIA, RECINTO LA AVISTA, RECINTO CRUCITA COMPONA, RECINTO LA PALMITA, RECINTO CANDILEJAS, RECINTO LA RINCONADA, RECINTO GARZAL S.FE.GUA., RECINTO AMERICA Y JOBO DE ABAJO, RECINTO PIÑAL DE ABAJO, SECTOR DEL RECINTO BOCANA DE ABAJO VIA A SAMBORONDON, RECINTO LA PAZ, RCTO.LA VICTORIA NAUSA, RECINTO ROMPEHATO 2, RECINTO SURUCHE - LOS AMARILLOS, RECINTO CHONANA, RECINTO MONTE OBSCURO, RECINTO VOLUNTAD DE DIOS, RECINTO BANCO JABONCILLO, RECINTO EL PRINCIPE VIA LAS CAÑAS, UNIDAD EDUCATIVA JULIO CARCHI, COOPERATIVA FRANCISCO RULES, SAN JACINTO, RECINTO MACULILLO, COOPERATIVA 10 FEBRERO-ZR.COLIM RELIC, RCTO.SURUCHE - LOS AMARILLOS 1, RECINTO LA ALBORADA-DAULE, RECINTO ABRAS DE CANELA, RECINTO LA YUCA, RECINTO LA BELLA, RECINTO SAN FELIPE, VIA DAULE-SANTA LUCIA, RECINTO PENINSULA DE ANIMAS, RECINTO LAS RAMAS, RECINTO LOS POZOS, RECINTO LA SIRENA, RECINTO LAS PIEDRAS, CIUDADELA 1 ERO DE OCTUBRE, CIUDADELA NUEVO BALZAR, RECINTO YURIMA, RECINTO LA PAZ, RECINTO ESTEROPITAL, RECINTO LA FLORIDA, RECINTO PEÑASCO, RECINTO BARRIO LINDO, RECINTO LA PAZ - RECINTO LA ARCADIA, RECINTO BAPAO, RECINTO GUACHAPELI, RECINTO LA ALBORADA 2, RECINTO EL MOROCHO, CIUDADELA EL PARAISO, RECINTO MASTRANTAL, RECINTO SAN ISIDRO, RECINTO ROMPEHATO 1, JUAN MONTALVO, RECINTO EL LAUREL 2, RECINTO VALDIVIA, RECINTO SAN GREGORIO, RECINTO LA ARMENIA, RECINTO CAÑAVERAL, RECINTO VIRGEN DEL CARMEN-SALITRE, RECINTO EL RECREO, RECINTO GUARUMAL SEC. # 2, RECINTO LA ALBORADA 1, RECINTO EL PIGIO, CASCABEL-CARRIZAL, RECINTO LA AVISTA, RECINTO PAPAYO 1, RECINTO CHIMENEA FAISAN, RECINTO CHIMENEA FAISAN, RECINTO JUDIPA 2, RECINTO BOCA DE LAS PIÑAS, RECINTO EL PRADO, VIA DAULE-SANTA LUCIA, VIA DAULE-SANTA LUCIA, CIUDADELA SAN FRANCISCO, RECINTO TAMARINDO, ZONA RURAL 5, BARRIO LINDO-BELLAVISTA, BARRIO LINDO-BELLAVISTA, LAS ACACIAS-RAFAEL SOTOMAYOR, RECINTO TRES MARIAS VIA A BABA, LAS ACACIAS-RAFAEL SOTOMAYOR, PUEBLO NUEVO, PUEBLO NUEVO, CIUDADELA LA FLORIDA, 15 NOVIEM-RECINTO SAN JUAN PERINAO, RECINTO LA CABULLA 1, RECINTO RANCHO PALMA, RECINTO BOCA DE GUABITO, RECINTO LA VICTORIA, RECINTO LA FUENTE, RECINTO LA VICTORIA, RECINTO CRUCITA COMPONA, RECINTO ROQUE, RECINTO YURIMA, RECINTO LA ALBORADA 4, RECINTO CORONA SAN JACINTO, CASCABEL-CARRIZAL, RECINTO SAN JOSE VIA A BABA Y GENERAL VERNAZA, RECINTO LA JAGUA, RECINTO LAS RAMAS VIA VINCES Y VERNAZA, RECINTO SAN PABLO, SANTA LUCÍA ZONA RURAL 3, RECINTO PICADURA DE ABAJO, RECINTO CABUYAL, RECINTO BOCANA DE ABAJO, RECINTO BRICENO, RECINTO 14 DE AGOSTO, CIUDADELA HASTA LA VICTORIA SIEMPRE, ZONA RURAL PALESTINA, RECINTO LAS DELICIAS, RECINTO VILLA BERMEJO, RECINTO PORVENIR, RECINTO SAN PABLO, RECINTO RESBALON, RECINTO SAN FELIPE, RECINTO LA LORENA, RECINTO SAN PEDRO / PALESTINA, RECINTO LOS PALITOS, LA CONCORDIA-MARTHA PACHECO, RECINTO BOCANA DE ABAJO, RECINTO BOCANA DE ABAJO, RECINTO LOS SAUCES, RECINTO LA PALMITA, RECINTO PALO SECO, RECINTO ROQUE, RECINTO VALDIVIA, VIA DAULE-SANTA LUCIA, RECINTO LA RINCONADA, RECINTO GARZAL S.FE.GUA., RECINTO LAS MERCEDES, RECINTO EL RETIRO, RECINTO LA VICTORIA, RECINTO EL MAICITO, RECINTO VOLUNTAD DE DIOS, RECINTO EL MATECITO 2, ZONA RURAL DE COLIMES, RECINTO LAS PIEDRAS, RECINTO UNIDOS VENCEREMOS, RECINTO CLARISA, SECTOR LAS CAÑAS JUANAS, SECTOR DE LA INDEPENDENCIA, CIUDADELA SAN JUÁN, RECINTO TINTAL HCDA NUEVA, RECINTO LA PERPETUA, RECINTO LA CURIA, CENTRO DE BALZAR, CENTRO DE BALZAR, RECINTO SAN PABLO, CTE DAULE, CENTRO DE COLIMES 2, RECINTO CORRAL QUEMADO, RECINTO GUARUMAL SEC. # 2, RECINTO EL LIMON (FERUM 2003), RECINTO PAVANA, RECINTO TINTAL HCDA NUEVA, RECINTO EL CORREDOR, RECINTO CHIMENEA FAISAN, VIA DAULE-SANTA LUCIA, RECINTO GUARUMAL SEC. # 2, RECINTO CAÑAVERAL, RECINTO BRICENO, RECINTO SAN NICOLAS, RECINTO SAN NICOLAS, LA CONCORDIA-MARTHA PACHECO 2, RECINTO LA VIRTUD, RECINTO CENTINELA, RECINTO MURALLA, RECINTO LA ELVIRA, ENTRADA A BALZAR, RECINTO SAN JACINTO SUR, CENTRO DE BALZAR 2, RECINTO NUEVA ESPERANZA, RECINTO SANTA CLARA, CIUDADELA BARCELONA, RECINTO POZA DE CACAO, RECINTO LA IBERIA VIA A LA ARTILLERIA, RECINTO EL MATECITO, CIUDADELA SAN PABLO, RECINTO YUMES, RECINTO SAN JUÁN, CIUDADELA SAN RAMON, RECINTO ESTERO POVEDA, RECINTO BUFAY, RECINTO CAÑAS DE SAN JUÁN, RECINTO MACUL 2, RECINTO ESTERO LOCO, RECINTO EL CORREDOR 1, RECINTO EL BOMBON, RECINTO BARRIO LINDO, RECINTO JUNQUILLO 3, RECINTO LA JAGUA, RECINTO JUNQUILLO 3, RECINTO EL MATECITO, RECINTO VERSALLES- BABA, ZONA RURAL LAUREL, RECINTO BAPAO, RECINTO HUACHINCHAL, RECINTO LOS CHIRIJOS, RECINTO ISLA DE CABUYAL, RECINTO ESMERALDITA, RECINTO LA YUCA, RECINTO ROSA ELENA, RECINTO LA MARIA - LAS COLEMBAS, RECINTO SAN EDUARDO, RECINTO CRUCITA COMPONA, RECINTO BOCA DE LAS PIÑAS, RECINTO LA VICTORIA, ZONA RURAL DE COLIMES, ZONA RURAL PALESTINA, 15 NOVIEM-RCT.SAN JUAN/PERINAO, RECINTO LA SORAYA, CLEMENTINA DE UNDA 2, RECINTO SAN GREGORIO, RECINTO LAS PIEDRAS, RECINTO LA SAIBA, RECINTO LA RESERVA, RECINTO ESTEROPITAL, RECINTO CAÑAVERAL, RECINTO ESTEROPITAL, CENTRO DE BALZAR, PROYECTO EL ENCANTO, RECINTO JUNQUILLO 1, SECTOR PAMPAS-LAS PIÑITAS, RECINTO LAS MERCEDES, RECINTO VERSALLES- BABA, RECINTO MACULILLO, RECINTO SAN JUÁN DE DIOS, RECINTO SAN NICOLAS 1, RECINTO BOTADERO, RECINTO ABRAS DE LIMÓN, CENTRO DE COLIMES, RECINTO MACUL, RECINTO SAN CLEMENTE, RECINTO JUÁN B. AGUIRRE, RECINTO AGUAS BALANCAS, RECINTO ESTERO LOCO VIA A LAS CAÑAS, CIUDADELA SANTA ROSA, INGRESO AL RECINTO EL PORVENIR-VIA SANTA LUCIA, RECINTO LINDA UNIÓN, RECINTO BARRANQUILLA, RECINTO LA JUDITH, RECINTO BERMEJO DEL FRENTE, RECINTO PROVIDENCIA, RECINTO BARRANQUILLA, RECINTO LA VUELTA, RECINTO ANIMAS, HACIENDA IBERIA, CIUDADELA NUEVA SANTA LUCIA, RECINTO ROSA MARIA, RECINTO LAS PAMPAS, SECTOR 6 DE FEBRERO, RECINTO EL CHUMBO, CIUDADELA LAS BRISAS, RECINTO BERMEJO DE ABAJO, RECINTO SAN ALEJO, RECINTO GUACHAPELI, NUEVA PALESTINA, RECINTO CAPILLA, RECINTO HUACHINCHAL, RECINTO LA PAZ, RECINTO CEDRON, RECINTO LAS MERCEDES, RECINTO SAN JACINTO DE COLIMES, RECINTO LA CARMENCITA, CIUDADELA MARIA EUGENIA, RECINTO LA RESERVA, RECINTO PICADURA DE ABAJO, RECINTO FLOR DE MARIA, RECINTO SEMIRA, RECINTO LOMAS DE COLIMES, RECINTO SURUCHE, CENTRO DE BALZAR 2, RECINTO LOS ANGELES, PRIMAX DAULE, ASOCIACION DE GANADEROS DE DAULE, RECINTO SAN PABLO, RECINTO LA VICTORIA, RECINTO EL LIMÓN, RECINTO VISTA ALEGRE, RECINTO GUAYAQUIL CHIQUITO, RECINTO VISTA ALEGRE, RECINTO ROMPEHATO 2, RECINTO CABUYAS, RECINTO LOS MANGUITOS, RECINTO MACUL 1, RECINTO CABUYAL, SANTA LUCÍA ZONA RURAL, RECINTO LA ELVIRA, RECINTO ROMPEHATO 2, RECINTO MACULILLO, RECINTO ARMENIA DE JUNQUILLAL, UNIDAD NACIONAL DE ALMACENAMIENTO, RECINTO LA VIRTUD, RCTO.STA.RITA-RCTO.EL SILENCIO</t>
  </si>
  <si>
    <t>SAUCES-LAS CAÑITAS, RECINTO LEGUAS GRANDES, BARRIO COLIMES, RECINTO CHONANA, RECINTO JUNQUILLO, RECINTO BARBASCO DE ABAJO, RECINTO PALO SECO, RECINTO LEON MINAS, RECINTO SEMIRA, RECINTO JUNQUILLO 1, RECINTO NUEVA ESPERANZA, RECINTO ABRAS DE CANELA, CIUDADELA UBALDO URQUIZO, RECINTO MAJADA, ZONA RURAL 5, RECINTO SAN VICENTE DE ADENTRO, BARRIO COLIMES, CENTRO DE BALZAR, CENTRO DE BALZAR 2, ESTACION DE BOMBEO AMERICA, CENTRO DE BALZAR, RECINTO LAS VILLAS, ZONA RURAL LAUREL 1, RECINTO VERSALLES, RECINTO MOROCHO VIA LA PELEA, RECINTO RANCHO PALMA, ENTRADA A BALZAR 2, RECINTO SAN NICOLAS, RECINTO PAPAYALES, RECINTO LOS JASMINEZ DE AR, RECINTO JUNQUILLAL 2, RECINTO PAVANA, RECINTO LA YUCA, CIUDADELA LOS NARANJOS, RECINTO EL CERRITO, RECINTO PALESTINA, CIUDADELA PATRIA LIBRE, RECINTO GUACHAPELI, RECINTO PERPETUA, RECINTO ABRAS LAS GUAYAS, RECINTO LA JUDITH, ZONA RURAL LAUREL 2, RECINTO ESTERO LOCO, RECINTO ESTERO LOCO, RECINTO ROSA ELENA, RECINTO LA YUCA, RECINTO ROSA ELENA, RECINTO EL RETIRO, RECINTO TIJIGUAL, RECINTO PORVENIR, SECTOR EL GUABITO, RCTO.MATA PALO, FALDAS DE CERRO RCT JULIA MARIA, RECINTO LAS MERCEDES, CIUDADELA LAS RIBERAS - SANTA LUCIA, SECTOR DEL RECINTO BOCANA DE ABAJO VIA A SAMBORONDON, FALDAS DEL CERRO, RECINTO DON BOSCO, RECINTO EL PESCADO, SANTA LUCÍA ZONA RURAL 2, CIUDADELA ELOY ALFARO, CENTRO DE BALZAR, RECINTO LA GRUTA, RECINTO MOROCHO, RECINTO PIÑAL, RECINTO POTRERITO, RECINTO TRES MARIAS, CDLA LA VOZ DE SANTA LUCIA, SECTOR LA BRASILIA DEL RECINTO LA GUAYAQUIL, RECINTO MEMBRILLAL, RECINTO PIÑAL ARRIBA, RECINTO SANTA MARIANITA, RECINTO RÍO SECO, CIUDADELA SAN JOSE, RECINTO JUNQUILLAL, RECINTO EL CORREDOR, RECINTO TINTAL DE ADENTRO, RECINTO LA FLORIDA, SANTA LUCÍA ZONA RURAL 3, RECINTO LAS PIEDRAS, RECINTO EL GUAYABO, RECINTO NUEVA CORONA, DESVIO A COLIMES Y MUELLE, RECINTO ABRAS DE LIMÓN 1, BUENOS AIRES, RECINTO TIJIGUAL - LA PALMA, RECINTO GUACHAPELI, RECINTO SAN LORENZO, RECINTO SOBERANA, RECINTO LA ALBORADA, SANTA LUCÍA ZONA RURAL 4, RECINTO LA VIRTUD, RECINTO SAN EDUARDO-RCTO.BOQUERON, RECINTO CRUCITA COMPONA, RECINTO JUDIPA, PILADORA YANCO-DAULE, BARRIO PAJUI, RECINTO TRES MARIAS, CENTRO DE BALZAR 2, RECINTO EL RONCADOR, RECINTO JUNQUILLO 2, RECINTO SARTANEJAL, RECINTO AMERICA, RECINTO LA PAZ VIA A LA VICTORIA, RECINTO EL CERRITO, RECINTO PLAYAS DE JUDIPA, RECINTO TINTAL, RECINTO PLAYONES, LAS PIEDRAS LOS AMARILLO4, RECINTO EL LAUREL 1, RECINTO NUEVA ESPERANZA, SECTOR LAS CAÑAS JUANAS, RECINTO VENECIA, RECINTO HIGUERON, CENTRO DE COLIMES 2, CIUDADELA 3 DE ABRIL, RECINTO NEGRO VIEJO-SAN PALERMO, RECINTO LA CABULLA 3, RECINTO TIERRA SECA, RECINTO LAS PEÑAS, RECINTO EL PIGIO 1, RECINTO BEBO, MUNICIPIO DE BALZAR, SAN JACINTO, AVENIDA 4 DE OCTUBRE, RECINTO PROVIDENCIA, RECINTO LA RESERVA, RECINTO LA TACHUELA, RECINTO LA CABULLA 2, RECINTO LA INDUSTRIA, CIUDADELA LAS LOMAS, EMPRESA PUBLICA MUNICIPAL DE TRANSITO Y MOVILIDAD, RECINTO GALAPAGOS, RECINTO LA ALEGRÍA, RECINTO 14 DE OCTUBRE, COOPERATIVA SAN FELIPE -RCTO.SAN JOSE, RECINTO JUNQUILLO 3, AGROINDUSTRIA EL MUÑECO S.A., RECINTO BEBO, RECINTO LA ALBORADA DAULE, RECINTO ESTERO DE LAGARTO, BOCANA, RECINTO SARTANEJAL, RECINTO LIMONAL, RECINTO EL GUAYABO, RECINTO LA DELIA, BARRIO SAMANES- SANTA LUCIA, CIUDADELA 16 DE JUNIO, RECINTO YUMES, RECINTO RINCON LARGO, RECINTO LA AGUEDITA, RECINTO SAN CLEMENTE, RECINTO NUENA ILUSION, ZONA RURAL LAUREL 2, RECINTO CABUYAL, CIUDADELA XAVIER, COOPERATIVA JORGE LUIS CORNEJO 2, ZONA RURAL PALESTINA, RECINTO EL GUAYABO, ENTRADA A BALZAR, BARRIO COLIMES, RECINTO LA RESERVA, RECINTO CAMPO LINDO, RECINTO LA CABULLA, RECINTO SAN NICOLAS, RECINTO GUAYAQUIL, RECINTO LA VICTORIA, RECINTO BRASILIA, RECINTO LA PITAHAYA, VIA BALZAR LA GUAYAQUIL4, RECINTO EL LAUREL, RECINTO PEÑASCO, CIUDADELA NUEVO PORVENIR, RECINTO EL MAMEY, RECINTO LA VUELTA 2, RECINTO LOS LIMOS, SECTOR PAMPAS-LAS PIÑITAS, RECINTO ISLA DE CABUYAL, RECINTO ESTERO DE LAGARTO, RECINTO DESQUITE, RECINTO LA MARIA - LAS COLEMBAS, RECINTO CANDILEJAS, RECINTO CHIGUIJO, PILADORA YANCO-DAULE, RECINTO LA YUCA, RECINTO DIBUJO / JAVITAL, RECINTO LA RINCONADA, RECINTO PICADURA, RECINTO SAN NICOLAS 1, RECINTO LOS SAUCES, BARRIO PAJUI, RECINTO ESPINAL, RECINTO EL LIMON (FERUM 2003), SECTOR EL PARAISO-COLIMES, RECINTO NUEVA ESPERANZA, RECINTO MACUL, TECNICENTRO UNION, CIUDADELA SAN JAVIER- SANTA LUCIA, RECINTO BOCA / GUABITO - GUABITO, RECINTO EL RELICARIO-BALZAR, RECINTO ISLA DE CABUYAL, NUEVA ESPERANZA, RECINTO LOS ANGELES, RECINTO GUACHAPELI, EL MOROCHAL, SANTA LUCÍA ZONA RURAL, BARRIO LINDO-BALZAR, RECINTO MACULILLO, RECINTO LOS MEMBRILLOS, RECINTO CORONA SAN JACINTO, RECINTO POTOSI, DIPOR-DAULE, RECINTO SAN FELIPE, RECINTO AGUAS BALANCAS, ZONA RURAL LAUREL, CENTRO DE BALZAR 2, VIRGEN DEL CARMEN 2, EL PARAISO 2, RECINTO CHE GUEVARA, RECINTO SAN JCTO. DE ESTE (RÍO), RECINTO CAÑAS DE SAN JUÁN, RECINTO LAS JAGUITAS - RANCHO QUEMADO, RECINTO MARIA VICTORIA, RECINTO ROMPEHATO, RECINTO LA VENGANZA, VIA A VERNAZA-SAN ISIDRO-3 MARIAS, ZONA RURAL PALESTINA, ZONA RURAL PALESTINA, UREM DAULE, RECINTO LA CONCEPCION, RECINTO LOS AMARILLOS - SAN FRAN, CIUDADELA 5 DE JUNIO- SANTA LUCIA, CIUDADELA SAN RAMON, COOPERATIVA JORGE LUIS CORNEJO, RECINTO LAS PIEDRAS, CIUDADELA LA FLORESTA-SANTA LUCIA, RECINTO LA AVISTA, RECINTO CRUCITA COMPONA, RECINTO LA PALMITA, RECINTO CANDILEJAS, RECINTO LA RINCONADA, RECINTO GARZAL S.FE.GUA., RECINTO AMERICA Y JOBO DE ABAJO, RECINTO PIÑAL DE ABAJO, SECTOR DEL RECINTO BOCANA DE ABAJO VIA A SAMBORONDON, RECINTO LA PAZ, RCTO.LA VICTORIA NAUSA, RECINTO ROMPEHATO 2, RECINTO SURUCHE - LOS AMARILLOS, RECINTO CHONANA, RECINTO MONTE OBSCURO, RECINTO VOLUNTAD DE DIOS, RECINTO BANCO JABONCILLO, RECINTO EL PRINCIPE VIA LAS CAÑAS, UNIDAD EDUCATIVA JULIO CARCHI, COOPERATIVA FRANCISCO RULES, SAN JACINTO, RECINTO MACULILLO, COOPERATIVA 10 FEBRERO-ZR.COLIM RELIC, RCTO.SURUCHE - LOS AMARILLOS 1, RECINTO LA ALBORADA-DAULE, RECINTO ABRAS DE CANELA, RECINTO LA YUCA, RECINTO LA BELLA, RECINTO SAN FELIPE, VIA DAULE-SANTA LUCIA, RECINTO PENINSULA DE ANIMAS, RECINTO LAS RAMAS, RECINTO LOS POZOS, RECINTO LA SIRENA, RECINTO LAS PIEDRAS, CIUDADELA 1 ERO DE OCTUBRE, CIUDADELA NUEVO BALZAR, RECINTO YURIMA, RECINTO LA PAZ, RECINTO ESTEROPITAL, RECINTO LA FLORIDA, RECINTO PEÑASCO, RECINTO BARRIO LINDO, RECINTO LA PAZ - RECINTO LA ARCADIA, RECINTO BAPAO, RECINTO GUACHAPELI, RECINTO LA ALBORADA 2, RECINTO EL MOROCHO, CIUDADELA EL PARAISO, RECINTO MASTRANTAL, RECINTO SAN ISIDRO, RECINTO ROMPEHATO 1, JUAN MONTALVO, RECINTO EL LAUREL 2, RECINTO VALDIVIA, RECINTO SAN GREGORIO, RECINTO LA ARMENIA, RECINTO CAÑAVERAL, RECINTO VIRGEN DEL CARMEN-SALITRE, RECINTO EL RECREO, RECINTO GUARUMAL SEC. # 2, RECINTO LA ALBORADA 1, RECINTO EL PIGIO, CASCABEL-CARRIZAL, RECINTO LA AVISTA, RECINTO PAPAYO 1, RECINTO CHIMENEA FAISAN, RECINTO CHIMENEA FAISAN, RECINTO JUDIPA 2, RECINTO BOCA DE LAS PIÑAS, RECINTO EL PRADO, VIA DAULE-SANTA LUCIA, VIA DAULE-SANTA LUCIA, CIUDADELA SAN FRANCISCO, RECINTO TAMARINDO, ZONA RURAL 5, BARRIO LINDO-BELLAVISTA, BARRIO LINDO-BELLAVISTA, LAS ACACIAS-RAFAEL SOTOMAYOR, RECINTO TRES MARIAS VIA A BABA, LAS ACACIAS-RAFAEL SOTOMAYOR, PUEBLO NUEVO, PUEBLO NUEVO, CIUDADELA LA FLORIDA, 15 NOVIEM-RECINTO SAN JUAN PERINAO, RECINTO LA CABULLA 1, RECINTO RANCHO PALMA, RECINTO BOCA DE GUABITO, RECINTO LA VICTORIA, RECINTO LA FUENTE, RECINTO LA VICTORIA, RECINTO CRUCITA COMPONA, RECINTO ROQUE, RECINTO YURIMA, RECINTO LA ALBORADA 4, RECINTO CORONA SAN JACINTO, CASCABEL-CARRIZAL, RECINTO SAN JOSE VIA A BABA Y GENERAL VERNAZA, RECINTO LA JAGUA, RECINTO LAS RAMAS VIA VINCES Y VERNAZA, RECINTO SAN PABLO, SANTA LUCÍA ZONA RURAL 3, RECINTO PICADURA DE ABAJO, RECINTO CABUYAL, RECINTO BOCANA DE ABAJO, RECINTO BRICENO, RECINTO 14 DE AGOSTO, CIUDADELA HASTA LA VICTORIA SIEMPRE, ZONA RURAL PALESTINA, RECINTO LAS DELICIAS, RECINTO VILLA BERMEJO, RECINTO PORVENIR, RECINTO SAN PABLO, RECINTO RESBALON, RECINTO SAN FELIPE, RECINTO LA LORENA, RECINTO SAN PEDRO / PALESTINA, RECINTO LOS PALITOS, LA CONCORDIA-MARTHA PACHECO, RECINTO BOCANA DE ABAJO, RECINTO BOCANA DE ABAJO, RECINTO LOS SAUCES, RECINTO LA PALMITA, RECINTO PALO SECO, RECINTO ROQUE, RECINTO VALDIVIA, VIA DAULE-SANTA LUCIA, RECINTO LA RINCONADA, RECINTO GARZAL S.FE.GUA., RECINTO LAS MERCEDES, RECINTO EL RETIRO, RECINTO LA VICTORIA, RECINTO EL MAICITO, RECINTO VOLUNTAD DE DIOS, RECINTO EL MATECITO 2, ZONA RURAL DE COLIMES, RECINTO LAS PIEDRAS, RECINTO UNIDOS VENCEREMOS, RECINTO CLARISA, SECTOR LAS CAÑAS JUANAS, SECTOR DE LA INDEPENDENCIA, CIUDADELA SAN JUÁN, RECINTO TINTAL HCDA NUEVA, RECINTO LA PERPETUA, RECINTO LA CURIA, CENTRO DE BALZAR, CENTRO DE BALZAR, RECINTO SAN PABLO, CTE DAULE, CENTRO DE COLIMES 2, RECINTO CORRAL QUEMADO, RECINTO GUARUMAL SEC. # 2, RECINTO EL LIMON (FERUM 2003), RECINTO PAVANA, RECINTO TINTAL HCDA NUEVA, RECINTO EL CORREDOR, RECINTO CHIMENEA FAISAN, VIA DAULE-SANTA LUCIA, RECINTO GUARUMAL SEC. # 2, RECINTO CAÑAVERAL, RECINTO BRICENO, RECINTO SAN NICOLAS, RECINTO SAN NICOLAS, LA CONCORDIA-MARTHA PACHECO 2, RECINTO LA VIRTUD, RECINTO CENTINELA, RECINTO MURALLA, RECINTO LA ELVIRA, ENTRADA A BALZAR, RECINTO SAN JACINTO SUR, CENTRO DE BALZAR 2, RECINTO NUEVA ESPERANZA, RECINTO SANTA CLARA, CIUDADELA BARCELONA, RECINTO POZA DE CACAO, RECINTO LA IBERIA VIA A LA ARTILLERIA, RECINTO EL MATECITO, CIUDADELA SAN PABLO, RECINTO YUMES, RECINTO SAN JUÁN, CIUDADELA SAN RAMON, RECINTO ESTERO POVEDA, RECINTO BUFAY, RECINTO CAÑAS DE SAN JUÁN, RECINTO MACUL 2, RECINTO ESTERO LOCO, RECINTO EL CORREDOR 1, RECINTO EL BOMBON, RECINTO BARRIO LINDO, RECINTO JUNQUILLO 3, RECINTO LA JAGUA, RECINTO JUNQUILLO 3, RECINTO EL MATECITO, RECINTO VERSALLES- BABA, ZONA RURAL LAUREL, RECINTO BAPAO, RECINTO HUACHINCHAL, RECINTO LOS CHIRIJOS, RECINTO ISLA DE CABUYAL, RECINTO ESMERALDITA, RECINTO LA YUCA, RECINTO ROSA ELENA, RECINTO LA MARIA - LAS COLEMBAS, RECINTO SAN EDUARDO, RECINTO CRUCITA COMPONA, RECINTO BOCA DE LAS PIÑAS, RECINTO LA VICTORIA, ZONA RURAL DE COLIMES, ZONA RURAL PALESTINA, 15 NOVIEM-RCT.SAN JUAN/PERINAO, RECINTO LA SORAYA, CLEMENTINA DE UNDA 2, RECINTO SAN GREGORIO, RECINTO LAS PIEDRAS, RECINTO LA SAIBA, RECINTO LA RESERVA, RECINTO ESTEROPITAL, RECINTO CAÑAVERAL, RECINTO ESTEROPITAL, CENTRO DE BALZAR, PROYECTO EL ENCANTO, RECINTO JUNQUILLO 1, SECTOR PAMPAS-LAS PIÑITAS, RECINTO LAS MERCEDES, RECINTO VERSALLES- BABA, RECINTO MACULILLO, RECINTO SAN JUÁN DE DIOS, RECINTO SAN NICOLAS 1, RECINTO BOTADERO, RECINTO ABRAS DE LIMÓN, CENTRO DE COLIMES, RECINTO MACUL, RECINTO SAN CLEMENTE, RECINTO JUÁN B. AGUIRRE, RECINTO AGUAS BALANCAS, RECINTO ESTERO LOCO VIA A LAS CAÑAS, CIUDADELA SANTA ROSA, INGRESO AL RECINTO EL PORVENIR-VIA SANTA LUCIA, RECINTO LINDA UNIÓN, RECINTO BARRANQUILLA, RECINTO LA JUDITH, RECINTO BERMEJO DEL FRENTE, RECINTO PROVIDENCIA, RECINTO BARRANQUILLA, RECINTO LA VUELTA, RECINTO ANIMAS, HACIENDA IBERIA, CIUDADELA NUEVA SANTA LUCIA, RECINTO ROSA MARIA, RECINTO LAS PAMPAS, SECTOR 6 DE FEBRERO, RECINTO EL CHUMBO, CIUDADELA LAS BRISAS, RECINTO BERMEJO DE ABAJO, RECINTO SAN ALEJO, RECINTO GUACHAPELI, NUEVA PALESTINA, RECINTO CAPILLA, RECINTO HUACHINCHAL, RECINTO LA PAZ, RECINTO CEDRON, RECINTO LAS MERCEDES, RECINTO SAN JACINTO DE COLIMES, RECINTO LA CARMENCITA, CIUDADELA MARIA EUGENIA, RECINTO LA RESERVA, RECINTO PICADURA DE ABAJO, RECINTO FLOR DE MARIA, RECINTO SEMIRA, RECINTO LOMAS DE COLIMES, RECINTO SURUCHE, CENTRO DE BALZAR 2, RECINTO LOS ANGELES, PRIMAX DAULE, ASOCIACION DE GANADEROS DE DAULE, RECINTO SAN PABLO, RECINTO LA VICTORIA, RECINTO EL LIMÓN, RECINTO VISTA ALEGRE, RECINTO GUAYAQUIL CHIQUITO, RECINTO VISTA ALEGRE, RECINTO ROMPEHATO 2, RECINTO CABUYAS, RECINTO LOS MANGUITOS, RECINTO MACUL 1, RECINTO CABUYAL, SANTA LUCÍA ZONA RURAL, RECINTO LA ELVIRA, RECINTO ROMPEHATO 2, RECINTO MACULILLO, RECINTO ARMENIA DE JUNQUILLAL, UNIDAD NACIONAL DE ALMACENAMIENTO, RECINTO LA VIRTUD, RCTO.STA.RITA-RCTO.EL SILENCIO</t>
  </si>
  <si>
    <t>COOPERATIVA HNO GREGORIO 2, SANTA TERESA, COOPERATIVA GLADYS MALDONADO, EMPRESA DE CHINOS, CIUDADELA CARLOS CARRERA, CIUDADELA ELSA BUCARAM, SECTOR INDUSTRIAL DURAN TAMBO, SECTOR KM 11-1/2 DURAN-YAGUACHI, CIUDADELA RECREO 5, COOPERATIVA DOS HERMANOS, COOPERATIVA TRABAJADORES UNIVERSIDAD DE GQUIL, LA ESPAÑOLA, BODEGAS, COOPERATIVA EL PANTANAL, COOPERATIVA ROBERTO GILBERT FEBRES-CORDERO, COOPERATIVA POR GUAYAQUIL INDEPENDIENTE, COOPERATIVA ANEXO GUAYAQUIL INDEPENDIENTE, CENTRO VIAL, SECTOR KM 6 AUTOPISTA DURAN-BOLICHE, URBANIZACION DURAN CITY ETAPA AMARANTO, SECTOR KM 6 PLASCA S.A, SECTOR KM 11-1/2 DURAN-YAGUACHI, SECTOR KM 11-1/2 DURAN-YAGUACHI, URBANIZACION VILLA VENTURA, SECTOR KM 7 ACUABALPRO, SECTOR KM 11-1/2 DURAN-YAGUACHI - INDUSUR DURAN, SECTOR KM 9 1/2 PISCINA DEL MAR, SECTOR KM 9 1/2 DURAN-YAGUACHI, SECTOR KM 9 1/2 CUSCAR, KM 1 - VIA DURAN YAGUACHI, KM 3 - VIA DURAN YAGUACHI, COOPERATIVA VALPARAISO 2, SECTOR KM 11-1/2 DURAN-YAGUACHI, COOPERATIVA VALLES DE LOS LIRIOS, SECTOR KM 7 INDUSTRIAL DEL MONTE, SECTOR KM 9 1/2 P&amp;S GASOLINERA, AVENIDA ANTONIO NEUMANE, KM 2 - VIA DURAN YAGUACHI, GALILEO, SECTOR KM 8 1/2 GASOLINERA EXXON, KM 2 - VIA DURAN BOLICHE, SECTOR KM 9 1/2 DURAN-YAGUACHI, PARQUE HERRADURA, COOPERATIVA JERUSALEN, NUEVO DURAN, COOPERATIVA DEL EJERCITO, CIUDADELA VILLAS DE SANTAY, COOPERATIVA EL PARAISO, URBANIZACION DURAN CITY ETAPA CAMELIA, COOPERATIVA HUERTO FAMILIAR I, CIUDADELA GABRIEL GARCÍA MORENO, CIUDADELA MARIANA DE JESUS, COOPERATIVA 12 DE AGOSTO, UVC DURAN RECREO, COOPERATIVA PUEBLO ORGANIZADO, CIUDADELA ALGARROBOS 2, COOPERATIVA UNA SOLA FUERZA 2, LAGUNA DE OXIDACIÓN RECREO, COOPERATIVA LOS CIPRESES, CIUDADELA LA HERRADURA, LOTIZACION INDEPENDENCIA, INTERCAFE, COOPERATIVA VALPARAISO, COOPERATIVA LOS NARANJOS, CIUDADELA CALI MURILLO, SECTOR KM 6 AUTOPISTA DURAN-BOLICHE, SECTOR KM 6 AUTOPISTA DURAN-BOLICHE, COOPERATIVA NUEVOS HORIZONTES, COOPERATIVA LAS VIOLETAS, VALENCIA, SECTOR KM 7 BODEGAS LOTIZACION LAS BRISAS, SECTOR KM 6 AUTOPISTA DURAN-BOLICHE, TERRENOS PREFECTURA GUAYAS, CIUDADELA VALLE DE JERUSALEN, URBANIZACION DURAN CITY ETAPA BROMELIA, SECTOR KM 6 EXPORTADORA A&amp;J, SECTOR KM 8 1/2 BODEGAS EL TREBOL, SECTOR KM 10 1/2 DURAN-YAGUACHI, SECTOR KM 9 1/2 DURAN-YAGUACHI, SECTOR KM 7 LA MAGNOLIA, SECTOR KM 8 1/2 DURAN-YAGUACHI, SECTOR KM 8 1/2 GRAN PARK, SECTOR KM 9 1/2 DURAN-YAGUACHI, SECTOR KM 9 1/2 GASOLINERA DURAN PRIMAX, KM 4 - VIA DURAN BOLICHE, KM 4 - VIA DURAN YAGUACHI, AVENIDA JUAN LEON MERA, CIUDADELA FRENTE DE LUCHA POPULAR, CIUDADELA EL EDEN, CIUDADELA EL RECREO (MIDUVI), IGLESIA CATOLICA 3ERA ETAPA RECREO, RECINTO CHOJAMPE, COOPERATIVA CAMINO A LA HERRADURA, CIUDADELA LA FAE, COOPERATIVA EL PARAISO, COOPERATIVA PROGRESO, COOPERATIVA 28 DE AGOSTO, COOPERATIVA COLINAS DEL RECREO, COOPERATIVA BANCO CENTRAL, COOPERATIVA 10 DE ENERO, COOPERATIVA UNIDOS VENCEREMOS, COOPERATIVA HOGAR SAN JOSE, COOPERATIVA SAN JOSE, INSTITUTO BOLIVARIANO DURAN, COOPERATIVA GLADYS MORA GARCIA, COOPERATIVA ANTONIO JOSÉ DE SUCRE, COOPERATIVA MARIA LUISA GILBERT, COOPERATIVA LOS FICUS, COOPERATIVA POR UN FUTURO MEJOR, CIUDADELA EL DORADO, SECTOR KM 7 ICEDCA, SECTOR KM 8 1/2 SACOPLAS, SECTOR KM 11-1/2 DURAN-YAGUACHI - HOTEL OLIMPO, KM 1 - VIA DURAN BOLICHE, KM 5 - VIA DURAN BOLICHE, KM 6 - VIA DURAN YAGUACHI, COOPERATIVA DERECHO DE LOS POBRES, COOPERATIVA JULIO COLL-2, COOPERATIVA LA PASTORA, COOPERATIVA SANTA TERESA, COOPERATIVA LOS FICUS, URBANIZACION JARDINES DE LOS GIRASOLES, CIUDADELA ORAMAS GONZALES, COOPERATIVA SANTA MARIANITA, CIUDADELA EL RECREO 2, COOPERATIVA 1 DE MAYO, SECTOR KM 8 1/2 DURAN-YAGUACHI, COOPERATIVA HNO GREGORIO 1, LOTIZACION 7 HERMANOS, TERRENO VACIO, BODEGA OREMAR CNEL, URBANIACION SAN GABRIEL, COOPERATIVA SAN CARLOS, URBANIZACION VILLA VENTURA, SECTOR KM 6 AUTOPISTA DURAN-BOLICHE, COOPERATIVA PEPE ARANA, COOPERATIVA POR UN FUTURO MEJOR, CONFRATERNIDAD INTERPROVINCIAL, COOPERATIVA TRABAJADORES DE LA CLINICA GQUIL, URBANIZACION ANDALUCIA, COOPERATIVA LUZ MARIA, COOPERATIVA LAS CLAVELES, COOPERATIVA SANTA TERESA, CIUDADELA EL RECREO 4, SUBESTACION CNEL RECREO, COOPERATIVA DOS HERMANOS, LOTIZACION LA MODULAR, CIUDADELA ALBERT GILBERT PONTON 2, SECTOR KM 6 AUTOPISTA DURAN-BOLICHE, SECTOR KM 6 AUTOPISTA DURAN-BOLICHE, COOPERATIVA LOS FICUS, COOPERATIVA LOS CEREZOS, LA PLAYAS, CIUDADELA EL RECREO 1, COOPERATIVA UNA SOLA FUERZA, COOPERATIVA UNA SOLA FUERZA 3, PARQUE 4TA ETAPA RECREO, ZONA RESERVA, COOPERATIVA SANTA ROSA, COOPERATIVA LOS MIRLOS, COOPERATIVA 28 DE OCTUBRE, SECTOR KM 6 AGROARRIBA S.A, SECTOR KM 6 AUTOPISTA DURAN-BOLICHE, BANCO CENTRAL, SECTOR KM 11-1/2 DURAN-YAGUACHI, TERRENO VACIO, PARQUE INDUSTRIAL PIADY, TERRENO VACIO, LOTIZACION JULIO COLL-1, SECTOR KM 6 MAQUINARIAS HENRIQUEZ, SECTOR KM 10 1/2 PLANTA VIENESA, SECTOR KM 9 1/2 DURAN-YAGUACHI, KM 5 - VIA DURAN YAGUACHI, REDONDEL CENTRO VIAL, SECTOR KM 7 BODEGAS LOTIZACION LAS BRISAS, SECTOR KM 7 HOME CENTER DURAN, SECTOR KM 11-1/2 DURAN-YAGUACHI - CLORO LEON, SECTOR KM 10 1/2 AUTO HOTEL EXPRESS, SECTOR KM 10 1/2 DURAN-YAGUACHI, SECTOR KM 9 1/2 SARCOFRUIT S.A, SECTOR KM 9 1/2 DURAN-YAGUACHI, KM 3 - VIA DURAN BOLICHE, COOPERATIVA EL CONDOR, MARFINGRA, COOPERATIVA LEONOR ELIZALDE, CIUDADELA EL RECREO 3, COOPERATIVA LOS SAUCES, COOPERATIVA CAMINO LA HERRADURA, COOPERATIVA NUEVA LUZ, COOPERATIVA CINCO HERMANAS, COOPERATIVA GUILLERMO GILBERT ESTRADA</t>
  </si>
  <si>
    <t>PLAZA TIA LA JOYA, VILLAS DEL REY - PRINCESA DIANA, URBANIZACION FLORENCIA-VILLA ITALIA, SUPER AKI - LA JOYA, URBANIZACION VILLA ITALIA ETAPA TOSCANA, URBANIZACION LA CANARIA-LA RIOJA, VILLAS DEL REY - REY ARTURO, VILLAS DEL REY - FELIPE, INGRESO A URBANIZACIONES VILLA ITALIA - LA RIOJA, URBANIZACION LA JOYA - ETAPA GEMA, URBANIZACION VILLAS DE REY ETAPA REINA ISABEL, UNIDAD EDUCATIVA HARVEST, URBANIZACION CASA LAGUNA -ETAPA BRISANA, PLAZA ZANNU, SAMBOCITY - MADISON PARK, URBANIZACION LA JOYA - ETAPA GRANATE, VOLARE, C.C. CASA LAGUNA, LA JOYA OPAL0, U.E. LOS DELFINES, C.C. PLAZA DESING, PLAZA SPORTS, MILENIUM VILLAGE, UNIDAD EDUCATIVA ECOMUNDO, VILLAS DEL REY - PRINCESA KATE, RIVER PLAZA, C.C. PLAZA LAGUNA, C.C. PLAZA LORETO, SAMBOCITY - PARADISA, VILLA CLUB - AURA, COMPLEJO DE INGENIEROS CIVILES, XANADU PLAZA, VILLAS DEL REY - REY CARLOS, URBANIZACION LA MANCHA-LA RIOJA, LA JOYA - PLATINO, URBANIZACION CASA LAGUNA ETAPA SERENA, MEGAMETALES AURORA, PLAZA VOLARE, URBANIZACION CASA LAGUNA - MANANTIAL, PLAZA COMERCIAL JADE, RIPCONCIV, URBANIZACION CASA LAGUNA - OASIS, VILLAS DEL REY - PRINCIPE GUILLERMO, LA JOYA - ORO, INGRESO A VIILAS DEL REY - DIANA - FELIPE - EDUARDO, REDONDEL A VIILAS DEL REY - TOWN CENTER URB, C.C CASA LAGUNA, URBANIZACION VILLAS DEL REY - ETAPA REINA LETIZIA, UPC LA JOYA, COOPERATIVA SAN ENRIQUE, URBANIZACION SANTA MARIA DE CASA GRANDE, LA JOYA - TOPACIO, VICRIEEL, VICTORIA RIVER, PIAZZA VILLA DEL REY, URBANIZACION BALI, COOPERATIVA SAN ENRIQUE, TECNOLOGICO ARGOS, C.C. PLAZA PARQUE TOWN CENTER, SAMBOCITY - HOLLYWOOD PARK, LA FORTALEZA, URBANIZACION ASTURIAS-LA RIOJA, URBANIZACION BOLONIA-LA RIOJA, CLIIP, LA JOYA - TURQUESA, URBANIZACION CASA LAGUNA - FLOREANA, PLAZA CALIFORNIA, LA JOYA - LA PERLA, URBANIZACION GENOVA-VILLA ITALIA, AVENIDA LEON FEBRES CORDERO RIVADENEYRA - KM 5, SAMBOCITY - MANHATTAN PARK, VILLAS DEL REY - REINA BEATRIZ, REDONDEL VILLAS DEL REY, CUERPO DE BOMBEROS LA JOYA, URBANIZACION SALAMANCA-LA RIOJA, URBANIZACION LA RIOJA ETAPA LA ALMERIA, VILLAS DEL REY - EDUARDO, URBANIZACION TOWN CENTER, S/E VILLAS DEL REY, BODEGAS LA JOYA, URBANIZACION LA JOYA - ETAPA AQUAMARINA, URBANIZACION CASA LAGUNA - SOLEANA, VILLAS DEL REY - PRINCIPE HARRY, URBANIZACION CASA LAGUNA - BRISAS, URBANIZACION BARI-VILLA ITALIA, MCDONALD´S, URBANIZACION LA PALMA-LA RIOJA, ALTOS DEL RIO, VILLAS DEL REY - REY JUAN CARLOS</t>
  </si>
  <si>
    <t>TAP KUBIEC:
RECINTO LA BAHONA, RECINTO RÍO PERDIDO, ZONA RURAL 2, RECINTO LOS QUEMADOS 1, RECINTO LOS QUEMADOS 3, BANIFE2- ESTADIO, RECINTO PALO ALTO 2, RECINTO CLARISSA, FUNERARIA TUTIVEN FLORES, RECINTO SAN SEBASTIAN, RECINTO SAN GABRIEL, AUTOSERVICIO 4R, LIGA CANTONAL NOBOL, RESTAURANTE ALVAREZ, RECINTO RÍO PERDIDO CENTRAL, RECINTO BIJAGUAL, TERMINAL TERRESTRE DAULE, LADO DERECHO DE NOBOL, IGLESIA ADVENTISTA NOBOL SUR, RECINTO SAN GABRIEL, COOPERATIVA CIELO DE JERUSALEN, RECINTO PUERTO LOS FLOJOS, ENTRADA A DAULE, IGLESIA EVANGELICA PENTECOSTAL, CENTRO DE DAULE 2, MARIANITA, PETRILLO LADO IZQUIERDO 2, ZONA RURAL 1, RECINTO SANTA ROSA, ZONA RURAL 4, ZONA RURAL 2, HOTEL REY DAVID, CENTRO DE DAULE 2, ESCUELA ADRIANA FUENTES, COOPERATIVA PATRIA NUEVA, RECINTO COMEJEN, CENTRO DE NOBOL 2, PARQUE ABDON CALDERON, ZONA RURAL 1, BELEN 2, ASSAD BUCARAM, COOP LA RINCONADA, ZONA RURAL DAULE, ALMACEN FERTIZA NOBOL, CENTRO DE NOBOL 5, RECINTO JABONCILLO, RECINTO ISLA CASCOL, LOTIZACION LOS ALGARROBOS, AVICOLA ROCA, ESCUELA CORINA PARRA, RECINTO ISLA CASCOL, RECINTO LAS MARAVILLAS, ZONA RURAL 2, RECINTO PAJONAL, LADO DERECHO DE NOBOL 2, CANCHA CDLA NARCISA DE JESUS, DUBAI LOUNGE BAR, RECINTO BUENA VISTA, AGROPRODUZCA-DAULE, RECINTO ROBERTO VELEZ SERRANO, SANTUARIO NARCISA DE JESUS, ENTRADA A NOBOL, ENTRADA A NOBOL 2, CENTRO DE NOBOL, TUTI NOBOL, RECINTO RÍO PERDIDO, RECINTO BRISAS DEL DAULE, RECINTO FLOR MARIA, MINI MARKET NARCISA DE JESUS, CENTRO DE DAULE 2, CENTRO DE DAULE, EL BELEN, MINI NOBOL 37, ASSAD BUCARAM, ZONA RURAL 5126, RECINTO GUARUMAL DE ABAJO, CDLA. PEDRO ISAÍAS, RECINTO BIJAGUAL, IGLESIA ADVENTISTA DEL SEPTIMA DIA, PAÑALERA AVENTURAS EN PAÑALES, ENTRADA A DAULE 2, RECINTO BIJAGUAL, MARIANITA 4, MARIANITA 2, ZONA RURAL 2, RECINTO BAPAO - JIGUAL VIA A SALITRE, RECINTO BAPAO - JIGUAL VIA A SALITRE, RECINTO CORRENTOSO, RECINTO PALO ALTO 2, LEOMOTOR´S, ZONA RURAL 3, CDLA. PERIMETRAL, RECINTO PALO ALTO, RECINTO LOS QUEMADOS, RECINTO LOS QUEMADOS 2, RECINTO SAN GABRIEL, RECINTO LA BAHONA, LA SECA DE DAULE, RECINTO PALO ALTO 2, AGROPRODUZCA-DAULE, RECINTO LOS QUEMADOS 4, ALAMOS-MULTICENTRO-RUMIÑAHU, RECINTO EL ARENAL-INGRESO A DAULE, ZONA RURAL, RECINTO BUENA VISTA, RECINTO PUERTO COQUITO, RECINTO BIJAGUAL, AVENIDA AMAZONAS, INGRESO SUR NOBOL, AVENIDA GREGORIO CONFORME, CRUCE MAGRO, BY PASS NOBOL, AVENIDA PIEDRAHITA, BY PASS DAULE CABECERA CANTONAL, AVENIDA SAN FRANCISCO, RECINTO NAUPE, RECINTO COMEJEN, RECINTO CORRENTOSO, RECINTO LAS MARAVILLAS, CENTRO DE NOBOL 1, IGLESIA EVANGELICA APOSTOLICA DELNOMBRE DE JESUS, EVENTOS ROXY, ROSA MIRA 2, ZONA RURAL 5126, CENTRO DE DAULE, MARIANITA 6, MULTICENTRO NOBOL, RECINTO RIBERAS OPUESTAS, SHOPING PASEO DAULE, RECINTO BUENA VISTA, RECINTO BAPAO - JIGUAL, ROSA MIRA, RECINTO SAN GABRIEL, CENTRO MEDICO SAN ANDRES, RECINTO BUENA VISTA, COOP LA RINCONADA, RECINTO LOS QUEMADOS VIA AL LAUREL, RECINTO LA GABARRA-MAGRO, ZONA RURAL 1, ZONA RURAL DAULE, BY PASS DAULE CABECERA CANTONAL, CENTRO DE DAULE, CENTRO DE DAULE 2, CENTRO DE DAULE 2, ENTRADA A DAULE, ENTRADA A DAULE 2, EL BELEN, BY PASS DAULE CABECERA CANTONAL, CENTRO DE DAULE, RECINTO EL CERRITO, RECINTO LA BAHONA, RECINTO LA BAHONA, ZONA RURAL DAULE, ZONA RURAL 5126, ENTRADA A DAULE, ENTRADA A DAULE 2, ZONA RURAL 5126, RECINTO LOS QUEMADOS 3, RECINTO BELDACO, RECINTO BELDACO, RECINTO CLARISSA, RECINTO GUARUMAL DE ABAJO, LOS DAULIS, RECINTO BUENA VISTA, IGLESIA CATOLICA SANTISIMA TRINIDAD Y PERPETUO SOC, MERCADO MUNICIPAL, RECINTO PUERTO LOS FLOJOS, RECINTO BIJAGUAL, BANIFE, YOLITA-BELEN, CENTRO DE DAULE, IGLESIA EVANGELICA ALIANZA DE PETRILLO, TIA NOBOL, RECINTO BUENA VISTA, RECINTO CORRENTOSO, RECINTO LOS QUEMADOS, RECINTO LOS QUEMADOS 1, RECINTO LOS QUEMADOS 2, RECINTO PAJONAL, YOLITA-BELEN 2, RECINTO LA AGUITA
RECINTO LAS ANONAS, CEMENTERIO PEDRO CARBO, RECINTO BOCA DE GUANABANO, RECINTO LA CARMELA, SAN RAMON 2, RECINTO BUENAVENTURA, CENTRO, RECINTO CASA DE TEJA, RECINTO CEREZAL, RECINTO LA SAIBA DEL VALLE, RECINTO LAS PLANCHADAS, RECINTO JERUSALEN DE ABAJO, BACHILLERO - FATIMA, RECINTO BALSAMO, RECINTO PROCEL DE ARRIBA, RECINTO PROCEL DE LA FORTUNA, CENTRO, CENTRO, ENTRADA A P. CARBO 2, GUAYAQUIL, SAN JOSÉ, PARROQ. VALLE DE LA VIRGEN, RECINTO FATIMA, RECINTO FATIMA, RECINTO PARAISO - QUISQUIZAL, RECINTO CAÑA BRAVA, EL ORO 2, SAN JACINTO-SANTA ROSA 2, RECINTO BAQUERANO, RECINTO EL JEBE VIA A PEPA DE ORO, RECINTO EL JEBE, RECINTO POTRERILLO, RECINTO LA SASTRA, SAN JACINTO-SANTA ROSA, EL ORO, MARTHA BUCARAM-CRISTO CONS. 2, CENTRO DE ACOPIO PEDRO CARBO, CENTRO DE SALUD TIPO C PEDRO CARBO, RECINTO AMANCAYALES, RECINTO LA SAIBA DEL VALLE, CAS PEDRO CARBO, RECINTO BOTIJA, RECINTO LA ESTACADA, RECINTO CARRIZAL, RECINTO POTRERILLO, RECINTO EL BAJO, RECINTO VILLAO, PARROQ. VALLE DE LA VIRGEN 1, SANTA CRUZ-SANTA MARIA, GUAYAQUIL 2, SAN JOSE 2, RECINTO LOMAS PERDIDAS, ENTRADA A P. CARBO - L. IZQUIE, RECINTO ESTERO DE PIEDRA, PARROQ. SABANILLA CENTRO, SABANILLA (LD) SECT-BUENA FE, CONDOMINIOS SANTA CRUZ-SANTA MARIA 2, RECINTO LA CARMELA, RECINTO BEJUCO DE MARIA, RECINTO JERUSALEN, RECINTO BALZARES, RECINTO LOS CORAZONES, RECINTO BARRANCO AMARILLO, ISIDRO AYORA, GOBIERNO AUTONOMO DESCENTRALIZADO, FISCALIA PEDRO CARBO, ESCUELA AGUA CLARA, RECINTO SAN ALEJO, RECINTO ZAMORA NUEVA, RECINTO LA CARMELA, RECINTO LA ESTACADA, RECINTO FATIMA, RECINTO SAN PEDRO VILLAO, RECINTO LAS PALMAS, RECINTO CAÑAR COMÚN, AVISID, RECINTO LAS PALMAS, RECINTO LAS PALMAS, ESCUELA 2 DE AGOSTO, RECINTO LA CHONTA, CENTRO 2, RECINTO FATIMA, RECINTO CASCAJAL, RECINTO CASA DE TEJA, RECINTO AMANCAYALES, RECINTO BARRANCO AMARILLO, RECINTO LA ESTACADA, PARQUE LINEAL, RECINTO EL GUASMITO, IGLESIA IPUHE - PEDRO CARBO, RECINTO LA SAIBA DEL VALLE, ISIDRO AYORA - BACHILLERO, RECINTO LA ESTACADA, RECINTO JERUSALEN DE ABAJO, RECINTO CAROLINA DEL NORTE, CENTRO 2, RECINTO ROSA DE ORO, REGISTRO CIVIL, ESCUELA AMARILIS FUENTES, SAN JOSE 2, SAN JACINTO-SANTA ROSA, MARTHA BUCARAM Y CRISTO/CONSU, ENTRADA A P. CARBO - L. IZQUIE, PARROQ. SABANILLA CENTRO 2, SABANILLA-SECTOR BUENA FE 2, PROYECTO HAB CASA PARA TODOS, RECINTO BACHILLERO
RECINTO SAUCES DE PUEBLO NUEVO, BARRIO 12 DE MAYO-RECINTO LAS CAÑAS, LOTIZACION LA VICTORIA, BARRIO LAS MERCEDES -RECINTO LAS CAÑAS, SALIDA DE LOMAS VIA A PEDRO CA, CENTRO DE LOMAS DE SARGENTILL, ZONA RURAL LOMAS-ISIDRO AYORA, RECINTO EL PRINCIPE, VIRGEN DE MONSERRATE, RECINTO PUEBLO NUEVO, RECINTO NARCISA DE JESUS, SECTOR COLEMBRAS, RECINTO PUERTO CAÑAS-RCTO CAÑAS, RECINTO NUEVA VIDA-LAS CAÑAS, LADO IZQUIERDO DE ISIDRO AYORA, RECINTO SAN LUIS-ISIDRO AYORA, AGIP GAS, RECINTO LA CERILLA-ISIDRO AYORA, CENTRO ENTRADA ISIDRO AYORA 2, BARRIO SAN JOSE -RECINTO LAS CAÑAS, RECINTO LAS CAÑAS LADO IZQUIERDO, RCTOS SAIBA-BARRANCO-VICTORIA, RECINTO COROZAL, RECINTO NARCISA DE JESUS, SAN LORENZO, SALIDA DE LOMAS 2, SAN LORENZO 2, RECINTO LA CHACRA, RECINTO SAN AGUSTÍN, RECINTO PUEBLO NUEVO, RECINTO LA MERCEDES, CENTRO Y ENTRADA ISIDRO AYORA, ENTRADA A LOMAS 2, RECINTO CIENIGA REDONDA, RECINTO SAUCES DE PUEBLO NUEVO, RECINTO LA VICTORIA- PUERTO AYORA, CENTRO DE LOMAS 2, CENTRO DE LOMAS DE SARGENTILL, RECINTO PUEBLO NUEVO, RECINTO PUEBLO NUEVO, BARRIO LAS PEÑAS-RECINTO LAS CAÑAS, BARRIO 12 DE MAYO-RECINTO LAS CAÑAS, BARRIO SANTA ROSA-RECINTO LAS CAÑAS, PARQUE INDUSTRIAL BODEGAS TIA, LADO IZQUIERDO ISIDRO AYORA 2, ENTRADA A LOMAS L. IZQUIERDO, CENTRO DE LOMAS 2, ENTRADA A LOMAS L. DERECHO, BARRIO LAS PEÑAS-RECINTO LAS CAÑAS
BANIFE:
RECINTO MAJADA, ESTACION DE BOMBEO AMERICA, RECINTO PORVENIR, RECINTO EL PESCADO, RECINTO POTRERITO, RECINTO PIÑAL ARRIBA, RECINTO SARTANEJAL, RECINTO SARTANEJAL, RECINTO DIBUJO / JAVITAL, RECINTO ESPINAL, RECINTO EL LIMON (FERUM 2003), RECINTO BOCA / GUABITO - GUABITO, RECINTO CHE GUEVARA, RECINTO SAN JCTO. DE ESTE (RÍO), RECINTO MONTE OBSCURO, RECINTO EL PRINCIPE VIA LAS CAÑAS, RECINTO LA FUENTE, RECINTO VILLA BERMEJO, RECINTO PORVENIR, RECINTO CORRAL QUEMADO, RECINTO EL LIMON (FERUM 2003), RECINTO BUFAY, RECINTO LA SAIBA, RECINTO BOTADERO, RECINTO BERMEJO DE ABAJO, RECINTO CABUYAS
SAUCES-LAS CAÑITAS, CENTRO DE BALZAR, CENTRO DE BALZAR 2, CENTRO DE BALZAR, RECINTO LAS VILLAS, RECINTO RANCHO PALMA, ENTRADA A BALZAR 2, RECINTO LA YUCA, RECINTO EL CERRITO, RECINTO LA YUCA, RECINTO DON BOSCO, CENTRO DE BALZAR, SECTOR LA BRASILIA DEL RECINTO LA GUAYAQUIL, RECINTO LAS PIEDRAS, BARRIO PAJUI, CENTRO DE BALZAR 2, RECINTO EL RONCADOR, RECINTO EL CERRITO, LAS PIEDRAS LOS AMARILLO4, RECINTO NEGRO VIEJO-SAN PALERMO, RECINTO LA CABULLA 3, MUNICIPIO DE BALZAR, SAN JACINTO, AVENIDA 4 DE OCTUBRE, RECINTO LA TACHUELA, RECINTO LA CABULLA 2, COOPERATIVA SAN FELIPE -RCTO.SAN JOSE, RECINTO LA DELIA, RECINTO SAN CLEMENTE, COOPERATIVA JORGE LUIS CORNEJO 2, ENTRADA A BALZAR, RECINTO CAMPO LINDO, RECINTO LA CABULLA, RECINTO GUAYAQUIL, RECINTO BRASILIA, VIA BALZAR LA GUAYAQUIL4, RECINTO PEÑASCO, CIUDADELA NUEVO PORVENIR, RECINTO LA YUCA, BARRIO PAJUI, RECINTO EL RELICARIO-BALZAR, BARRIO LINDO-BALZAR, RECINTO MACULILLO, CENTRO DE BALZAR 2, COOPERATIVA JORGE LUIS CORNEJO, RECINTO LAS PIEDRAS, COOPERATIVA FRANCISCO RULES, SAN JACINTO, RECINTO MACULILLO, RECINTO LA YUCA, RECINTO LA BELLA, RECINTO LAS PIEDRAS, CIUDADELA NUEVO BALZAR, RECINTO ESTEROPITAL, RECINTO PEÑASCO, CIUDADELA EL PARAISO, CASCABEL-CARRIZAL, 15 NOVIEM-RECINTO SAN JUAN PERINAO, RECINTO LA CABULLA 1, RECINTO RANCHO PALMA, CASCABEL-CARRIZAL, RECINTO LOS PALITOS, RECINTO EL MAICITO, RECINTO LAS PIEDRAS, CENTRO DE BALZAR, CENTRO DE BALZAR, ENTRADA A BALZAR, RECINTO SAN JACINTO SUR, CENTRO DE BALZAR 2, RECINTO ESTERO POVEDA, RECINTO EL BOMBON, RECINTO LA YUCA, 15 NOVIEM-RCT.SAN JUAN/PERINAO, CLEMENTINA DE UNDA 2, RECINTO LAS PIEDRAS, RECINTO ESTEROPITAL, RECINTO ESTEROPITAL, CENTRO DE BALZAR, RECINTO MACULILLO, RECINTO SAN CLEMENTE, RECINTO LINDA UNIÓN, RECINTO LAS PAMPAS, RECINTO EL CHUMBO, RECINTO CEDRON, RECINTO LA CARMENCITA, CENTRO DE BALZAR 2, RECINTO LOS MANGUITOS, RECINTO MACULILLO
ZONA RURAL 5, RECINTO LOS JASMINEZ DE AR, RECINTO ESTERO LOCO, RECINTO ESTERO LOCO, RECINTO PIÑAL, RECINTO TINTAL DE ADENTRO, RECINTO SAN LORENZO, SANTA LUCÍA ZONA RURAL 4, PILADORA YANCO-DAULE, RECINTO TINTAL, EMPRESA PUBLICA MUNICIPAL DE TRANSITO Y MOVILIDAD, RECINTO LIMONAL, RECINTO EL MAMEY, PILADORA YANCO-DAULE, TECNICENTRO UNION, DIPOR-DAULE, UREM DAULE, RECINTO PIÑAL DE ABAJO, UNIDAD EDUCATIVA JULIO CARCHI, VIA DAULE-SANTA LUCIA, RECINTO PENINSULA DE ANIMAS, RECINTO LOS POZOS, RECINTO VALDIVIA, RECINTO EL RECREO, RECINTO EL PRADO, VIA DAULE-SANTA LUCIA, VIA DAULE-SANTA LUCIA, ZONA RURAL 5, RECINTO LA LORENA, RECINTO VALDIVIA, VIA DAULE-SANTA LUCIA, CTE DAULE, VIA DAULE-SANTA LUCIA, RECINTO LA ELVIRA, RECINTO SANTA CLARA, RECINTO ESTERO LOCO, RECINTO HUACHINCHAL, PROYECTO EL ENCANTO, RECINTO ESTERO LOCO VIA A LAS CAÑAS, RECINTO ANIMAS, RECINTO HUACHINCHAL, RECINTO FLOR DE MARIA, PRIMAX DAULE, ASOCIACION DE GANADEROS DE DAULE, RECINTO LA ELVIRA, UNIDAD NACIONAL DE ALMACENAMIENTO
ZONA RURAL LAUREL 1, RECINTO JUNQUILLAL 2, RECINTO PERPETUA, RECINTO LA JUDITH, ZONA RURAL LAUREL 2, RECINTO SANTA MARIANITA, RECINTO JUNQUILLAL, RECINTO NUEVA CORONA, RECINTO CRUCITA COMPONA, RECINTO JUDIPA, RECINTO PLAYAS DE JUDIPA, RECINTO EL LAUREL 1, RECINTO LAS PEÑAS, RECINTO EL PIGIO 1, AGROINDUSTRIA EL MUÑECO S.A., RECINTO ESTERO DE LAGARTO, ZONA RURAL LAUREL 2, RECINTO EL LAUREL, RECINTO LA VUELTA 2, RECINTO ISLA DE CABUYAL, RECINTO ESTERO DE LAGARTO, RECINTO CHIGUIJO, RECINTO ISLA DE CABUYAL, RECINTO LOS ANGELES, RECINTO CORONA SAN JACINTO, RECINTO POTOSI, RECINTO SAN FELIPE, RECINTO AGUAS BALANCAS, ZONA RURAL LAUREL, RECINTO MARIA VICTORIA, RECINTO LA AVISTA, RECINTO CRUCITA COMPONA, RECINTO GARZAL S.FE.GUA., RECINTO SAN FELIPE, RECINTO YURIMA, RECINTO EL LAUREL 2, RECINTO LA ARMENIA, RECINTO LA AVISTA, RECINTO PAPAYO 1, RECINTO JUDIPA 2, RECINTO BOCA DE LAS PIÑAS, RECINTO CRUCITA COMPONA, RECINTO YURIMA, RECINTO CORONA SAN JACINTO, RECINTO SAN FELIPE, RECINTO GARZAL S.FE.GUA., ZONA RURAL LAUREL, RECINTO ISLA DE CABUYAL, RECINTO CRUCITA COMPONA, RECINTO BOCA DE LAS PIÑAS, RECINTO LA SORAYA, RECINTO AGUAS BALANCAS, RECINTO LA JUDITH, RECINTO LA VUELTA, RECINTO LOS ANGELES, RECINTO GUAYAQUIL CHIQUITO, RECINTO ARMENIA DE JUNQUILLAL
BARRIO COLIMES, RECINTO BARBASCO DE ABAJO, RECINTO ABRAS DE CANELA, RECINTO SAN VICENTE DE ADENTRO, BARRIO COLIMES, CIUDADELA LOS NARANJOS, RECINTO PALESTINA, RECINTO ABRAS LAS GUAYAS, RECINTO EL RETIRO, RECINTO TIJIGUAL, SECTOR EL GUABITO, SANTA LUCÍA ZONA RURAL 2, CIUDADELA ELOY ALFARO, RECINTO LA GRUTA, CIUDADELA SAN JOSE, SANTA LUCÍA ZONA RURAL 3, RECINTO EL GUAYABO, DESVIO A COLIMES Y MUELLE, RECINTO TIJIGUAL - LA PALMA, RECINTO LA VIRTUD, RECINTO SAN EDUARDO-RCTO.BOQUERON, RECINTO PLAYONES, SECTOR LAS CAÑAS JUANAS, RECINTO HIGUERON, CENTRO DE COLIMES 2, RECINTO TIERRA SECA, RECINTO LA INDUSTRIA, CIUDADELA LAS LOMAS, RECINTO GALAPAGOS, RECINTO LA ALEGRÍA, RECINTO 14 DE OCTUBRE, RECINTO EL GUAYABO, CIUDADELA 16 DE JUNIO, RECINTO YUMES, CIUDADELA XAVIER, ZONA RURAL PALESTINA, RECINTO EL GUAYABO, BARRIO COLIMES, RECINTO LOS LIMOS, SECTOR PAMPAS-LAS PIÑITAS, RECINTO LA MARIA - LAS COLEMBAS, RECINTO LA RINCONADA, SECTOR EL PARAISO-COLIMES, RECINTO MACUL, NUEVA ESPERANZA, RECINTO LOS MEMBRILLOS, EL PARAISO 2, RECINTO LAS JAGUITAS - RANCHO QUEMADO, RECINTO LA VENGANZA, ZONA RURAL PALESTINA, ZONA RURAL PALESTINA, RECINTO LOS AMARILLOS - SAN FRAN, RECINTO LA RINCONADA, RECINTO SURUCHE - LOS AMARILLOS, RECINTO VOLUNTAD DE DIOS, COOPERATIVA 10 FEBRERO-ZR.COLIM RELIC, RCTO.SURUCHE - LOS AMARILLOS 1, RECINTO ABRAS DE CANELA, RECINTO LA SIRENA, RECINTO LA PAZ - RECINTO LA ARCADIA, RECINTO EL MOROCHO, RECINTO EL PIGIO, CIUDADELA SAN FRANCISCO, RECINTO TAMARINDO, CIUDADELA LA FLORIDA, RECINTO BOCA DE GUABITO, RECINTO SAN PABLO, SANTA LUCÍA ZONA RURAL 3, RECINTO 14 DE AGOSTO, CIUDADELA HASTA LA VICTORIA SIEMPRE, ZONA RURAL PALESTINA, RECINTO SAN PABLO, RECINTO SAN PEDRO / PALESTINA, RECINTO LA RINCONADA, RECINTO EL RETIRO, RECINTO VOLUNTAD DE DIOS, ZONA RURAL DE COLIMES, SECTOR LAS CAÑAS JUANAS, CIUDADELA SAN JUÁN, RECINTO LA PERPETUA, RECINTO LA CURIA, RECINTO SAN PABLO, CENTRO DE COLIMES 2, RECINTO LA VIRTUD, RECINTO CENTINELA, RECINTO MURALLA, CIUDADELA BARCELONA, RECINTO YUMES, RECINTO MACUL 2, RECINTO LA MARIA - LAS COLEMBAS, RECINTO SAN EDUARDO, ZONA RURAL DE COLIMES, ZONA RURAL PALESTINA, SECTOR PAMPAS-LAS PIÑITAS, RECINTO SAN JUÁN DE DIOS, CENTRO DE COLIMES, RECINTO MACUL, INGRESO AL RECINTO EL PORVENIR-VIA SANTA LUCIA, RECINTO BARRANQUILLA, SECTOR 6 DE FEBRERO, CIUDADELA LAS BRISAS, RECINTO SAN ALEJO, NUEVA PALESTINA, RECINTO CAPILLA, RECINTO SAN JACINTO DE COLIMES, RECINTO LOMAS DE COLIMES, RECINTO SURUCHE, RECINTO SAN PABLO, RECINTO EL LIMÓN, RECINTO MACUL 1, RECINTO LA VIRTUD, RCTO.STA.RITA-RCTO.EL SILENCIO
RECINTO LEGUAS GRANDES, RECINTO CHONANA, CIUDADELA UBALDO URQUIZO, RECINTO PAPAYALES, CIUDADELA PATRIA LIBRE, RECINTO LAS MERCEDES, CIUDADELA LAS RIBERAS - SANTA LUCIA, CDLA LA VOZ DE SANTA LUCIA, RECINTO MEMBRILLAL, RECINTO RÍO SECO, RECINTO ABRAS DE LIMÓN 1, RECINTO VENECIA, CIUDADELA 3 DE ABRIL, BARRIO SAMANES- SANTA LUCIA, RECINTO RINCON LARGO, RECINTO CABUYAL, RECINTO PICADURA, CIUDADELA SAN JAVIER- SANTA LUCIA, EL MOROCHAL, SANTA LUCÍA ZONA RURAL, RECINTO CAÑAS DE SAN JUÁN, CIUDADELA 5 DE JUNIO- SANTA LUCIA, CIUDADELA SAN RAMON, CIUDADELA LA FLORESTA-SANTA LUCIA, RECINTO CHONANA, CIUDADELA 1 ERO DE OCTUBRE, RECINTO PICADURA DE ABAJO, RECINTO CABUYAL, RECINTO LAS MERCEDES, CIUDADELA SAN PABLO, RECINTO SAN JUÁN, CIUDADELA SAN RAMON, RECINTO CAÑAS DE SAN JUÁN, RECINTO LAS MERCEDES, RECINTO ABRAS DE LIMÓN, CIUDADELA SANTA ROSA, RECINTO BERMEJO DEL FRENTE, HACIENDA IBERIA, CIUDADELA NUEVA SANTA LUCIA, RECINTO LAS MERCEDES, CIUDADELA MARIA EUGENIA, RECINTO PICADURA DE ABAJO, RECINTO VISTA ALEGRE, RECINTO VISTA ALEGRE, RECINTO CABUYAL, SANTA LUCÍA ZONA RURAL</t>
  </si>
  <si>
    <t>RECINTO BUENAVENTURA, RECINTO EL JEBE VIA A PEPA DE ORO, RECINTO EL JEBE, CENTRO DE ACOPIO PEDRO CARBO, RECINTO CARRIZAL, PARROQ. SABANILLA CENTRO, SABANILLA (LD) SECT-BUENA FE, ISIDRO AYORA, AVISID, RECINTO LA CHONTA, ISIDRO AYORA - BACHILLERO, RECINTO CAROLINA DEL NORTE, RECINTO ROSA DE ORO, PARROQ. SABANILLA CENTRO 2, SABANILLA-SECTOR BUENA FE 2, RECINTO BACHILLERO</t>
  </si>
  <si>
    <t>RECINTO CHAUNE CHICO, RECINTO SAGRADA FAMILIA, RECINTO RIO CHILA, LOTIZACION ESTELA ESPINOZA, RECINTO LA CANCAGUA, RECINTO FEDERICO INTRIAGO, RECINTO FUMISA, RECINTO GUAYACANES BOCA DE GUALIPE, RECINTO SAIBA DE ARRIBA, RECINTO GUAYACANES MILTON REYES, RECINTO LOS LIMONES Y JUNTOS AVANZAMOS, RECINTO LAS PIÑAS, RECINTO SAN FRANCISCO, RECINTO ESTERO AZUL, RECINTO SAN CRISTOBAL, RECINTO ISLA DEL BOFE, LOTIZACION SAN JACINTO, COOPERATIVA 19 DE OCTUBRE 1ERA ETAPA, LOTIZACION NUEVA ESPERANZA, COOPERATIVA 19 DE OCTUBRE 1ERA ETAPA, LOTIZACION NUEVA BUENA FE - LOT SAN GABRIEL, COOPERATIVA NUEVA BUENA FE, RECINTO SALTO CHICO Y EL CONGUITO, CIUDADELA NOGALES2- ALTAGRACIA - LA CAROLINA BUENA, RECINTO SANTA ANA DEL CONGO, RECINTO GUAYACANES SALAPI CHIQUITO, LOTIZACION UNION Y PROGRESO, RECINTO GUAYACANES SAN FRANCISCO, RECINTO SONIA MARIA, RECINTO SAN PEDRO DE LA Y, RECINTO ESTERO AZUL, RECINTO PALO BLANCO, RECINTO SAN FRANCISCO, RECINTO SAN FRANCISCO, RECINTO GUAYACANES POCACHE DE ARRIBA, RECINTO GUAYACANES 24 DE MAYO, RECINTO LA SOLEDAD, LOTIZACION LUPITA, RECINTO PLATOS DE MANIZALES, RECINTO SAN FRANCISCO, COOPERATIVA 9 DE OCTUBRE II, RECINTO LA CUMBIA - GUANTUPI Y LA BALTAZ, RECINTO HOLANDESA, RECINTO CORRIENTE GRANDE, RECINTO LA CABUYA, COOPERATIVA NOGALES II, RECINTO VANGUARDIA, RECINTO TRANSVAL-BALTAZAHARA, RECINTO SALAPI CHICO, LOTIZACION EL ARBOLITO, RECINTO AGUAS FRIAS, RECINTO GUAYACANES SAN JOSE, RECINTO GUAYACANES SALAPI GRANDE, RECINTO LA INMACULADA Y LAS TRANCAS, COOPERATIVA NOGALES 1, RECINTO LIMON MANIZALES, RECINTO POZA HONDA Y PONCE ENRIQUE, RECINTO SAN SIMON, RECINTO LAS PIÑAS, RECINTO ISLA DE PATO, COOPERATIVA SANTA ROSA, COOPERATIVA SAN CAMILO CHIQUITO, RECINTO ESTERO CHICO VIA PLATO, RECINTO NUEVA ZULEMA, VIA BUENA FE - SANTO DOMINGO, LOTIZACION NUEVA ESPERANZA, LOTIZACION SAN GABRIEL, LOTIZACION SAN GABRIEL, BUENA FE - CENTRO, RECINTO ISLA CHEMERE, LOS ANGELES VÍA SANTO DOMINGO, RECINTO PALO BLANCO, RECINTO GUAYACANES MILTON REYES, COOPERATIVA 19 DE OCTUBRE 2DA ETAPA, COOPERATIVA 9 DE OCTUBRE II, LOTIZACION SAN PEDRO, COOPERATIVA NUEVA BUENA FE, LOTIZACION NUEVA ESPERANZA, RECINTO PECHICHE Y POZA HONDA, RECINTO SAIBA INTERMEDIA, LOTIZACION SANTA MARTHA, RECINTO LA CUMBIA - GUANTUPI Y LA BALTAZ, RECINTO VALDEZ, RECINTO PAMBILAR, RECINTO SAN FRANCISCO, RECINTO GUAYACANES EL LIMON, RECINTO LA FAMILIA, LOTIZACION 10 DE AGOSTO, SECT. JUNTOS AVANZAMOS, RECINTO SAN CRISTOBAL, LOTIZACION LA BASE, RECINTO GUAYACANES LAS PALMAS, RECINTO SAN FRANCISCO, RECINTO GUAYACANES EL NEGRO, RECINTO ZULAY, LOTIZACION EL CORTIJO, LOTIZACION JUANA MERCEDES, LOTIZACION LAS VEGAS, RECINTO SALAPI GRANDE II, RECINTO GUAYACANES SAN VICENTE, RECINTO LA LIBERTAD, RECINTO CAMARONES, RECINTO GALICIA, RECINTO LOS GUAYACANES, RECINTO SALTO CHICO Y EL CONGUITO, LOTIZACION SAN PEDRO, RECINTO SAN ANTONIO, RECINTO EL VERGEL, LOTIZACION BELLA VISTA</t>
  </si>
  <si>
    <t>RECINTO LAS ANONAS, CEMENTERIO PEDRO CARBO, RECINTO BOCA DE GUANABANO, RECINTO LA CARMELA, SAN RAMON 2, RECINTO BUENAVENTURA, CENTRO, RECINTO CASA DE TEJA, RECINTO CEREZAL, RECINTO LA SAIBA DEL VALLE, RECINTO LAS PLANCHADAS, RECINTO JERUSALEN DE ABAJO, BACHILLERO - FATIMA, RECINTO BALSAMO, RECINTO PROCEL DE ARRIBA, RECINTO PROCEL DE LA FORTUNA, CENTRO, CENTRO, ENTRADA A P. CARBO 2, GUAYAQUIL, SAN JOSÉ, PARROQ. VALLE DE LA VIRGEN, RECINTO FATIMA, RECINTO FATIMA, RECINTO PARAISO - QUISQUIZAL, RECINTO CAÑA BRAVA, EL ORO 2, SAN JACINTO-SANTA ROSA 2, RECINTO BAQUERANO, RECINTO EL JEBE VIA A PEPA DE ORO, RECINTO EL JEBE, RECINTO POTRERILLO, RECINTO LA SASTRA, SAN JACINTO-SANTA ROSA, EL ORO, MARTHA BUCARAM-CRISTO CONS. 2, CENTRO DE ACOPIO PEDRO CARBO, CENTRO DE SALUD TIPO C PEDRO CARBO, RECINTO AMANCAYALES, RECINTO LA SAIBA DEL VALLE, CAS PEDRO CARBO, RECINTO BOTIJA, RECINTO LA ESTACADA, RECINTO CARRIZAL, RECINTO POTRERILLO, RECINTO EL BAJO, RECINTO VILLAO, PARROQ. VALLE DE LA VIRGEN 1, SANTA CRUZ-SANTA MARIA, GUAYAQUIL 2, SAN JOSE 2, RECINTO LOMAS PERDIDAS, ENTRADA A P. CARBO - L. IZQUIE, RECINTO ESTERO DE PIEDRA, PARROQ. SABANILLA CENTRO, SABANILLA (LD) SECT-BUENA FE, CONDOMINIOS SANTA CRUZ-SANTA MARIA 2, RECINTO LA CARMELA, RECINTO BEJUCO DE MARIA, RECINTO JERUSALEN, RECINTO BALZARES, RECINTO LOS CORAZONES, RECINTO BARRANCO AMARILLO, ISIDRO AYORA, GOBIERNO AUTONOMO DESCENTRALIZADO, FISCALIA PEDRO CARBO, ESCUELA AGUA CLARA, RECINTO SAN ALEJO, RECINTO ZAMORA NUEVA, RECINTO LA CARMELA, RECINTO LA ESTACADA, RECINTO FATIMA, RECINTO SAN PEDRO VILLAO, RECINTO LAS PALMAS, RECINTO CAÑAR COMÚN, AVISID, RECINTO LAS PALMAS, RECINTO LAS PALMAS, ESCUELA 2 DE AGOSTO, RECINTO LA CHONTA, CENTRO 2, RECINTO FATIMA, RECINTO CASCAJAL, RECINTO CASA DE TEJA, RECINTO AMANCAYALES, RECINTO BARRANCO AMARILLO, RECINTO LA ESTACADA, PARQUE LINEAL, RECINTO EL GUASMITO, IGLESIA IPUHE - PEDRO CARBO, RECINTO LA SAIBA DEL VALLE, ISIDRO AYORA - BACHILLERO, RECINTO LA ESTACADA, RECINTO JERUSALEN DE ABAJO, RECINTO CAROLINA DEL NORTE, CENTRO 2, RECINTO ROSA DE ORO, REGISTRO CIVIL, ESCUELA AMARILIS FUENTES, SAN JOSE 2, SAN JACINTO-SANTA ROSA, MARTHA BUCARAM Y CRISTO/CONSU, ENTRADA A P. CARBO - L. IZQUIE, PARROQ. SABANILLA CENTRO 2, SABANILLA-SECTOR BUENA FE 2, PROYECTO HAB CASA PARA TODOS, RECINTO BACHILLERO
CNEL3:
CIUDADELA RIVERAS DE DURAN, CIUDADELA LOS HELECHOS SECT 4, HOSPITAL 100 CAMAS, CIUDADELA BRISAS DE SANTAY ETAPA 6-7, PANORAMA VILLAS DEL MIDUVI, URBANIZACION VIVALDA, CIUDADELA LAS TERRAZAS, URBANIZACION PANORAMA REAL, COOPERATIVA UNIDOS VENCEREMOS, AEREOVIA, INDUSTRIAS AL RIO, CIUDADELA PRIMAVERA 2 2B, COOPERATIVA ARRIBA DURAN, EMPACADORA ZHONGLIAN AQUATIC PRODUCTS S. A., COOPERATIVA 2 DE MAYO, FARMAYALA, COOPERATIVA EL BOSQUE, COOPERATIVA COLINAS DEL VALLE, CIUDADELA BRISAS DE SANTAY, CIUDADELA LA PRIMAVERA 2 2C, CIUDADELA DEMOCRATICA SUR, CIUDADELA LOS HELECHOS SECT 5, CIUDADELA LOS HELECHOS SECT 1, CIUDADELA PRIMAVERA 2 2A, CANGRILL, URBANIZACION ALTAMIRA, CARTONERA PROCARSA, CIUDADELA LOS HELECHOS SECT 13, CIUDADELA LOS HELECHOS SECT 11, COOPERATIVA ALGARRROBOS, CIUDADELA PANORAMA, CIUDADELA PANORAMA C07, CIUDADELA PRIMAVERA 2 2B, COOPERATIVA LOMAS SAN LUIS, VIA A LA FERIA GANADERA DE DURAN, CIUDADELA BIENESTAR PARA TODOS, CENTRO DURAN, SECTOR INDUSTRIAL -LOTIZACION LAS FERIAS, CIUDADELA PRIMAVERA 2 1A, CIUDADELA BRISAS DE SANTAY, SECTOR INDUSTRIAL KM 5 1/2 DURAN TAMBO, CIUDADELA ABEL GILBETR 3, URBANIZACION NUEVA PANORAMA, CIUDADELA LOS HELECHOS SECT 9, URBANIZACION PORTAL PANORAMA, KM 1 - VIA DURAN DURAN TAMBO, URBANIZACION PANORAMA CLUB, CIUDADELA EL RECREO VIEJO, CIUDADELA LA PRIMAVERA 2 1C, CIUDADELA BRISAS DEL GUAYAS, AVENIDA LEON FEBRES CORDERO, CIUDADELA LA PRIMAVERA 2 1B, AGENCIA DE REVISIÓN DE TRANSITO, CIUDADELA LA PRIMAVERA 2 ID, CIUDADELA LA PRIMAVERA 2 2D, MAVISA, INDUSTRIA GRANDES DURAN, POLIGRAFICA, COOPERATIVA COLINAS DE DURAN, COOPERATIVA VIDA NUEVA, CIUDADELA LOS HELECHOS SECT 12, CIUDADELA PANORAMA C08, CANGRIL, FERIA GANADERA DURAN, CEMENTERIO PARQUE DE LA PAZ, S E DURAN SUR CNEL GLR, CENTRO DURAN, URBANIZACION NUEVA PANORAMA, TERRENOS CNEL CENTRO VIAL, CUERPO DE BOMBEROS DURAN-100 CAMAS, CIUDADELA PROCARSA, CIUDADELA SAN ENRIQUE, KM 2 - VIA DURAN DURAN TAMBO, KM 3 - VIA DURAN DURAN TAMBO, CIUDADELA LOS HELECHOS SECT 3, CIUDADELA LOS HELECHOS SECT 6, CIUDADELA LOS HELECHOS SECT 2
CNEL4:
COOPERATIVA HNO GREGORIO 2, SANTA TERESA, COOPERATIVA GLADYS MALDONADO, EMPRESA DE CHINOS, CIUDADELA CARLOS CARRERA, CIUDADELA ELSA BUCARAM, SECTOR INDUSTRIAL DURAN TAMBO, SECTOR KM 11-1/2 DURAN-YAGUACHI, CIUDADELA RECREO 5, COOPERATIVA DOS HERMANOS, COOPERATIVA TRABAJADORES UNIVERSIDAD DE GQUIL, LA ESPAÑOLA, BODEGAS, COOPERATIVA EL PANTANAL, COOPERATIVA ROBERTO GILBERT FEBRES-CORDERO, COOPERATIVA POR GUAYAQUIL INDEPENDIENTE, COOPERATIVA ANEXO GUAYAQUIL INDEPENDIENTE, CENTRO VIAL, SECTOR KM 6 AUTOPISTA DURAN-BOLICHE, URBANIZACION DURAN CITY ETAPA AMARANTO, SECTOR KM 6 PLASCA S.A, SECTOR KM 11-1/2 DURAN-YAGUACHI, SECTOR KM 11-1/2 DURAN-YAGUACHI, URBANIZACION VILLA VENTURA, SECTOR KM 7 ACUABALPRO, SECTOR KM 11-1/2 DURAN-YAGUACHI - INDUSUR DURAN, SECTOR KM 9 1/2 PISCINA DEL MAR, SECTOR KM 9 1/2 DURAN-YAGUACHI, SECTOR KM 9 1/2 CUSCAR, KM 1 - VIA DURAN YAGUACHI, KM 3 - VIA DURAN YAGUACHI, COOPERATIVA VALPARAISO 2, SECTOR KM 11-1/2 DURAN-YAGUACHI, COOPERATIVA VALLES DE LOS LIRIOS, SECTOR KM 7 INDUSTRIAL DEL MONTE, SECTOR KM 9 1/2 P&amp;S GASOLINERA, AVENIDA ANTONIO NEUMANE, KM 2 - VIA DURAN YAGUACHI, GALILEO, SECTOR KM 8 1/2 GASOLINERA EXXON, KM 2 - VIA DURAN BOLICHE, SECTOR KM 9 1/2 DURAN-YAGUACHI, PARQUE HERRADURA, COOPERATIVA JERUSALEN, NUEVO DURAN, COOPERATIVA DEL EJERCITO, CIUDADELA VILLAS DE SANTAY, COOPERATIVA EL PARAISO, URBANIZACION DURAN CITY ETAPA CAMELIA, COOPERATIVA HUERTO FAMILIAR I, CIUDADELA GABRIEL GARCÍA MORENO, CIUDADELA MARIANA DE JESUS, COOPERATIVA 12 DE AGOSTO, UVC DURAN RECREO, COOPERATIVA PUEBLO ORGANIZADO, CIUDADELA ALGARROBOS 2, COOPERATIVA UNA SOLA FUERZA 2, LAGUNA DE OXIDACIÓN RECREO, COOPERATIVA LOS CIPRESES, CIUDADELA LA HERRADURA, LOTIZACION INDEPENDENCIA, INTERCAFE, COOPERATIVA VALPARAISO, COOPERATIVA LOS NARANJOS, CIUDADELA CALI MURILLO, SECTOR KM 6 AUTOPISTA DURAN-BOLICHE, SECTOR KM 6 AUTOPISTA DURAN-BOLICHE, COOPERATIVA NUEVOS HORIZONTES, COOPERATIVA LAS VIOLETAS, VALENCIA, SECTOR KM 7 BODEGAS LOTIZACION LAS BRISAS, SECTOR KM 6 AUTOPISTA DURAN-BOLICHE, TERRENOS PREFECTURA GUAYAS, CIUDADELA VALLE DE JERUSALEN, URBANIZACION DURAN CITY ETAPA BROMELIA, SECTOR KM 6 EXPORTADORA A&amp;J, SECTOR KM 8 1/2 BODEGAS EL TREBOL, SECTOR KM 10 1/2 DURAN-YAGUACHI, SECTOR KM 9 1/2 DURAN-YAGUACHI, SECTOR KM 7 LA MAGNOLIA, SECTOR KM 8 1/2 DURAN-YAGUACHI, SECTOR KM 8 1/2 GRAN PARK, SECTOR KM 9 1/2 DURAN-YAGUACHI, SECTOR KM 9 1/2 GASOLINERA DURAN PRIMAX, KM 4 - VIA DURAN BOLICHE, KM 4 - VIA DURAN YAGUACHI, AVENIDA JUAN LEON MERA, CIUDADELA FRENTE DE LUCHA POPULAR, CIUDADELA EL EDEN, CIUDADELA EL RECREO (MIDUVI), IGLESIA CATOLICA 3ERA ETAPA RECREO, RECINTO CHOJAMPE, COOPERATIVA CAMINO A LA HERRADURA, CIUDADELA LA FAE, COOPERATIVA EL PARAISO, COOPERATIVA PROGRESO, COOPERATIVA 28 DE AGOSTO, COOPERATIVA COLINAS DEL RECREO, COOPERATIVA BANCO CENTRAL, COOPERATIVA 10 DE ENERO, COOPERATIVA UNIDOS VENCEREMOS, COOPERATIVA HOGAR SAN JOSE, COOPERATIVA SAN JOSE, INSTITUTO BOLIVARIANO DURAN, COOPERATIVA GLADYS MORA GARCIA, COOPERATIVA ANTONIO JOSÉ DE SUCRE, COOPERATIVA MARIA LUISA GILBERT, COOPERATIVA LOS FICUS, COOPERATIVA POR UN FUTURO MEJOR, CIUDADELA EL DORADO, SECTOR KM 7 ICEDCA, SECTOR KM 8 1/2 SACOPLAS, SECTOR KM 11-1/2 DURAN-YAGUACHI - HOTEL OLIMPO, KM 1 - VIA DURAN BOLICHE, KM 5 - VIA DURAN BOLICHE, KM 6 - VIA DURAN YAGUACHI, COOPERATIVA DERECHO DE LOS POBRES, COOPERATIVA JULIO COLL-2, COOPERATIVA LA PASTORA, COOPERATIVA SANTA TERESA, COOPERATIVA LOS FICUS, URBANIZACION JARDINES DE LOS GIRASOLES, CIUDADELA ORAMAS GONZALES, COOPERATIVA SANTA MARIANITA, CIUDADELA EL RECREO 2, COOPERATIVA 1 DE MAYO, SECTOR KM 8 1/2 DURAN-YAGUACHI, COOPERATIVA HNO GREGORIO 1, LOTIZACION 7 HERMANOS, TERRENO VACIO, BODEGA OREMAR CNEL, URBANIACION SAN GABRIEL, COOPERATIVA SAN CARLOS, URBANIZACION VILLA VENTURA, SECTOR KM 6 AUTOPISTA DURAN-BOLICHE, COOPERATIVA PEPE ARANA, COOPERATIVA POR UN FUTURO MEJOR, CONFRATERNIDAD INTERPROVINCIAL, COOPERATIVA TRABAJADORES DE LA CLINICA GQUIL, URBANIZACION ANDALUCIA, COOPERATIVA LUZ MARIA, COOPERATIVA LAS CLAVELES, COOPERATIVA SANTA TERESA, CIUDADELA EL RECREO 4, SUBESTACION CNEL RECREO, COOPERATIVA DOS HERMANOS, LOTIZACION LA MODULAR, CIUDADELA ALBERT GILBERT PONTON 2, SECTOR KM 6 AUTOPISTA DURAN-BOLICHE, SECTOR KM 6 AUTOPISTA DURAN-BOLICHE, COOPERATIVA LOS FICUS, COOPERATIVA LOS CEREZOS, LA PLAYAS, CIUDADELA EL RECREO 1, COOPERATIVA UNA SOLA FUERZA, COOPERATIVA UNA SOLA FUERZA 3, PARQUE 4TA ETAPA RECREO, ZONA RESERVA, COOPERATIVA SANTA ROSA, COOPERATIVA LOS MIRLOS, COOPERATIVA 28 DE OCTUBRE, SECTOR KM 6 AGROARRIBA S.A, SECTOR KM 6 AUTOPISTA DURAN-BOLICHE, BANCO CENTRAL, SECTOR KM 11-1/2 DURAN-YAGUACHI, TERRENO VACIO, PARQUE INDUSTRIAL PIADY, TERRENO VACIO, LOTIZACION JULIO COLL-1, SECTOR KM 6 MAQUINARIAS HENRIQUEZ, SECTOR KM 10 1/2 PLANTA VIENESA, SECTOR KM 9 1/2 DURAN-YAGUACHI, KM 5 - VIA DURAN YAGUACHI, REDONDEL CENTRO VIAL, SECTOR KM 7 BODEGAS LOTIZACION LAS BRISAS, SECTOR KM 7 HOME CENTER DURAN, SECTOR KM 11-1/2 DURAN-YAGUACHI - CLORO LEON, SECTOR KM 10 1/2 AUTO HOTEL EXPRESS, SECTOR KM 10 1/2 DURAN-YAGUACHI, SECTOR KM 9 1/2 SARCOFRUIT S.A, SECTOR KM 9 1/2 DURAN-YAGUACHI, KM 3 - VIA DURAN BOLICHE, COOPERATIVA EL CONDOR, MARFINGRA, COOPERATIVA LEONOR ELIZALDE, CIUDADELA EL RECREO 3, COOPERATIVA LOS SAUCES, COOPERATIVA CAMINO LA HERRADURA, COOPERATIVA NUEVA LUZ, COOPERATIVA CINCO HERMANAS, COOPERATIVA GUILLERMO GILBERT ESTRADA</t>
  </si>
  <si>
    <t>CNEL2:
SECTOR BOTADERO DE BASURA, KM 6 - VIA DURAN BOLICHE, SIMMONS ECUADOR, PARQUE DEL ESTE, BODEGAS CORRUCHECSA, KM 5 - VIA DURAN DURAN TAMBO, ADITEC, PLASTIGAMA, METATEK S.A., ELECTROLUX, LOTIZACION LANGOCEBRA KM8 1/2 DURAN TAMBO, CIUDADELA BRISAS DE SANTAY ETAPA 9, COOPERATIVA LUZ BOLIVARIANA, KM 7 - VIA DURAN BOLICHE, RECINTO YAMILE, TERRENOS VIA DURAN TAMBO, CORPORACION LANEC, COOPERATIVA MONTANAVI, RECINTO STA MARTHA/UNION, COOPERATIVA FINCAS DELIA, KM 8 - VIA DURAN BOLICHE, KM 4 - VIA DURAN DURAN TAMBO, HUMING INTERNACIONAL ECUADOR S.A., COMPLEJO DAHAU</t>
  </si>
  <si>
    <t>RECINTO LOMA DE PIEDRA, RECINTO TRES TILLOS, RECINTO SAN PEDRO, LOTIZACION SAN ANTONIO, RECINTO PEÑAFIEL, RECINTO SANTA BARBARA, RECINTO CAÑA DULCE, RECINTO GUAYJA, RECINTO PEÑAFIEL, RECINTO LOS ANGELES-MOCACHE, RECINTO PEÑAFIEL DE ENMEDIO, RECINTO LA GERMANIA, RECINTO RONCADOR, RECINTO EL LIMON, RECINTO PEÑAFIEL DE ABAJO, RECINTO PEÑAFIEL, RECINTO SAN MATEO, BARRIO NORTE, LOTIZACION LOS EMILIOS-MOCACHE, RECINTO VIRGEN DEL CARMEN, RECINTO LA MARIANA, RECINTO GARZA CHICA, RECINTO SAN PEDRO, BARRIO LINDO, MOCACHE CENTRO, RECINTO EL TROPEZON, RECINTO CRUCE DE PAJARITO, RECINTO LA CODICIA, RECINTO SARGANA, RECINTO SAN PEDRO, COOPERATIVA 24 DE MAYO, RECINTO PUENTE PALO Y GARZAS GRANDES, RECINTO LAS CAÑITAS, RECINTO LAS CAÑITAS, LA SAIBA, RECINTO EL SEÑOR DE LOS MILAGROS, RECINTO LA ARTILLERIA, RECINTO JAUNECHE, RECINTO BAJO PERDIDO, RECINTO LA GERMANIA, RECINTO BANCO PLAYA, RECINTO LA ARTILLERIA, RECINTO PECHICHE, RECINTO LA PIMINETA, RECINTO SAN PEDRO, LOTIZACION LUIS FERNANDO, RECINTO HIERVA LUISA, RECINTO EL RECREO, RECINTO LA SAIBA DE ABAJO, RECINTO LA PIMIENTA, LOTIZACION BELLAVISTA, RECINTO RANCHO DE CADIZ, RECINTO EL RECREO, RECINTO SAN JORGE, RECINTO LA GERMANIA, RECINTO CEPE CAÑA, RECINTO SARA GUERRERO, RECINTO MATA DE CACAO, RECINTO LA CRUZ, RECINTO AJISAL, RECINTO LA ISLA, RECINTO GARZAS DE ENMEDIO, RECINTO CRUCE DE PAJARITO, RECINTO LAS CAÑITAS, RECINTO SARA GUERRERO, RECINTO LA CASITA, RECINTO GRAMALOTILLO, RECINTO PORFIA, RECINTO PUENTE PALO Y GARZAS GRANDES, RECINTO LIMON II, RECINTO SAN PEDRO, RECINTO BOLICHE, RECINTO LA DOMINGA, RECINTO LAS CAÑITAS, RECINTO INDEPENDENCIA, LOTIZACION LAS PALMAS, COOPERATIVA 23 DE AGOSTO, LOTIZACION GUILLERMO JUEZ, SECT. LA VICTORIA, RECINTO SANTA BARBARA, RECINTO EL TROPEZON, RECINTO LOS CAÑALES, RECINTO PEÑAFIEL DE ENMEDIO, RECINTO PAJARITO DE ARRIBA, RECINTO EL TROPEZON, RECINTO CEPE CAÑA, RECINTO AGUACATAL, RECINTO EL RECREO</t>
  </si>
  <si>
    <t>RECINTO CHOLLO, RECINTO GUALPE, RECINTO SAN MELECIO, RECINTO PICE DEL TARRO, RECINTO LA REFORMA, RECINTO PICE GONZALES, RECINTO SAN PABLO 2, SECTOR NARCISA DE JESUS - SOLES BELLA UNION, LOTIZACION EL PLACER 1-2, RECINTO ANA MARIA, RECINTO AMA MARIA DE ARRIBA, RECINTO EL TRIUNFO, RECINTO LAMPADERA, RECINTO MOZUELO, RECINTO ANA MARIA, RECINTO AGUAS CLARAS, RECINTO LOS LAURELES, RECINTO GUAMPE VÍA LA CADENA, RECINTO AGUACATE DE PISE, RECINTO EL RECREO NORTE, RECINTO LA ESPERANZA P2, RECINTO LA BLANQUITA, RECINTO LA REFORMA, RECINTO GUAMPE DE ABAJO, RECINTO LOS LAURELES, RECINTO LAMPA, RECINTO VALLE NEGRO, LOTIZACION EL PLACER 1-2, RECINTO EL TRIUNFO, RECINTO LAS CHAVICAS, LOTIZACION EL PLACER 1-2, LOTIZACION EL PLACER 1-2, RECINTO LAS CHAVICAS NORTE, RECINTO PISE EL TARRO, RECINTO AMA MARIA DE ARRIBA, RECINTO EL TRIUNFO, RECINTO PICE CACHURI, RECINTO SAN ALFONSO, CIUDADELA EL PLACER, RECINTO MATECITO, RECINTO STA. MARTHA, RECINTO COSTA AZUL, SECTOR MERCEDES- PRIMAVERA- VALENCIA, RECINTO AGUAS CLARAS, RECINTO EL TRIUNFO</t>
  </si>
  <si>
    <t>MALDONADO, RECINTO LOZA DE ARRIBA, RECINTO EL TIGRE, RECINTO LAS DAMAS, RECINTO SAN JACINTO, RECINTO CONGUILLO, RECINTO EL ROSARIO, RECINTO COELLO DE BALSA, RECINTO LA BOMBA, RECINTO AGUA BLANCA, RECINTO CERRADALES, RECINTO LA BEATRIZ, RECINTO CHONERO DE AFUERA, RECINTO SANTIAGO, RECINTO LA CUCHILLA, RECINTO CHONERO CENTRAL, LOTIZACION COLINAS DE GERMUT, RECINTO SAN JACINTO, E.P.M.A.P.A.P, RECINTO BAJO VERDE, G.A.D. MUNICIPAL DEL CANTON PICHINCHA, RECINTO GUAYACAN, UNIDAD MUNICIPAL DE TRÁNSITO, RECINTO SAN JUAN, RECINTO EL MATE, RECINTO EL MATE, RECINTO SAN BASILIO, RECINTO AJI DE BANTANO, CEMENTERIO GENERAL DE PICHINCHA, U.E. ANA PAREDES DE ALFARO, RECINTO VALAREZO, RECINTO LA BOMBA, RECINTO TACHELILLO, LA TARABITA, LAS DAMAS SECTOR SAMANES, U.E. SANTA GEMA, RECINTO CAÑALES, RECINTO SOLANO, RECINTO LIMON LA LINDA, RECINTO EL TIGRE, RECINTO CHONERO DE ABAJO, RECINTO SAN ANDRES, RECINTO LA BARBARITA, RECINTO MAJAGUA, RECINTO LA BALSA, RECINTO LA BALSA, GASOLINERA "MARÍA 1", RECINTO SAN JACINTO, RECINTO DESVIO DE COELLO, RECINTO BAMBURRIA DE AFUERA, U.E. MIGUEL DE CERVANTES, RECINTO COME Y PAGA, LA CADENA, RECINTO BAMBURRIA DE ADENTRO, RECINTO SAN JACINTO, RECINTO EL TIGRE, RECINTO LA BALSA, GASOLINERA ESTHIMUSA, HOSPITAL BASICO REGIONAL "PICHINCHA", RECINTO CHONERO CHICO, RECINTO SAN JACINTO, RECINTO LOSA DE ABAJO, RECINTO CHONERO CENTRAL, RECINTO EL OBO, RECINTO SOLANILLO, BELLAVISTA-PICHINCHA, CENTRO DE SALUD PICHINCHA, UNIDAD JUDICIAL PICHINCHA, MARÍA ASUNCIÓN, RECINTO ESCUELA MANABÍ, U.E FISCAL PICHINCHA</t>
  </si>
  <si>
    <t>RECINTO LOMA DE PIEDRA, RECINTO TRES TILLOS, RECINTO SAN PEDRO, LOTIZACION SAN ANTONIO, RECINTO PEÑAFIEL, RECINTO SANTA BARBARA, RECINTO CAÑA DULCE, RECINTO GUAYJA, RECINTO PEÑAFIEL, RECINTO LOS ANGELES-MOCACHE, RECINTO PEÑAFIEL DE ENMEDIO, RECINTO LA GERMANIA, RECINTO LA MORADA, RECINTO MARAÑON, RECINTO RONCADOR, RECINTO EL LIMON, RECINTO PEÑAFIEL DE ABAJO, SOCIEDAD EL SAUCE, RECINTO PEÑAFIEL, RECINTO TRONCO MORAL 2, RECINTO SAN MATEO, BARRIO NORTE, LOTIZACION LOS EMILIOS-MOCACHE, RECINTO VIRGEN DEL CARMEN, RECINTO LA MARIANA, RECINTO GARZA CHICA, RECINTO SAN PEDRO, BARRIO LINDO, RECINTO EL LECHUGAL, RECINTO EL DESCANSO, RECINTO EL DESCANSO, RECINTO EL DESCANSO, RECINTO EL MORAL, MOCACHE CENTRO, RECINTO EL TROPEZON, RECINTO CRUCE DE PAJARITO, RECINTO LA CODICIA, RECINTO SARGANA, RECINTO JHON F KENNEDY, RECINTO SAN PEDRO, RECINTO SANTA RITA 2, RECINTO LA FE, COOPERATIVA 24 DE MAYO, RECINTO PUENTE PALO Y GARZAS GRANDES, RECINTO EL DESCANSO, RECINTO LAS CAÑITAS, RECINTO LAS CAÑITAS, LA SAIBA, RECINTO EL SEÑOR DE LOS MILAGROS, RECINTO LOS PANTANOS, RECINTO LA ARTILLERIA, RECINTO JAUNECHE, RECINTO SAN IGNACIO, RECINTO BAJO PERDIDO, RECINTO MARAÑON, RECINTO LA GERMANIA, RECINTO BANCO PLAYA, RECINTO LA ARTILLERIA, RECINTO PECHICHE, RECINTO LA PIMINETA, RECINTO SAN PEDRO, RECINTO LAS PALMIRAS, RECINTO ESTRELLA GRANDE, LOTIZACION LUIS FERNANDO, RECINTO HIERVA LUISA, RECINTO EL RECREO, RECINTO LA SAIBA DE ABAJO, RECINTO LA PIMIENTA, LOTIZACION BELLAVISTA, RECINTO RANCHO DE CADIZ, RECINTO EL RECREO, RECINTO SAN JORGE, RECINTO LA GERMANIA, RECINTO LAS MANGAS, RECINTO CEPE CAÑA, RECINTO SARA GUERRERO, RECINTO LECHUGAL DE ENMEDIO, RECINTO MATA DE CACAO, RECINTO LA CRUZ, RECINTO AJISAL, RECINTO LA ISLA, RECINTO GARZAS DE ENMEDIO, RECINTO EL DESCANSO, RECINTO LECHUGAL DE ENMEDIO, RECINTO CRUCE DE PAJARITO, RECINTO LAS CAÑITAS, RECINTO SARA GUERRERO, RECINTO LECHUGAL DE ENMEDIO, LOTIZACION SAN IGNACIO-SANTA FE II, RECINTO LA CASITA, RECINTO GRAMALOTILLO, RECINTO PORFIA, RECINTO PUENTE PALO Y GARZAS GRANDES, RECINTO ESTRELLA GRANDE, RECINTO EL DESCANSO, RECINTO LIMON II, RECINTO SAN PEDRO, RECINTO BOLICHE, RECINTO LA DOMINGA, RECINTO LAS CAÑITAS, RECINTO INDEPENDENCIA, LOTIZACION LAS PALMAS, COOPERATIVA 23 DE AGOSTO, LOTIZACION GUILLERMO JUEZ, SECT. LA VICTORIA, RECINTO SANTA BARBARA, RECINTO EL TROPEZON, RECINTO LOS CAÑALES, RECINTO PEÑAFIEL DE ENMEDIO, RECINTO PAJARITO DE ARRIBA, RECINTO EL TROPEZON, RECINTO CEPE CAÑA, RECINTO AGUACATAL, RECINTO LAS CAMPANAS, RECINTO ESTRELLA GRANDE, RECINTO EL RECREO</t>
  </si>
  <si>
    <t>RECINTO SELVA ALEGRE, SECTOR EL LAUREL- CHANG LUEY, SECTOR GALO PLAZA, SECTOR SAN RAFAEL SUR, COOPERATIVA 23 DE MARZO, SECTOR CASCO COMERCIAL 12, RECINTO ORO VERDE, RECINTO ZAVALOS DE ARRIBA, LOTIZACION ESTAMBUL, SECTOR NARCISA DE JESUS, SECTOR NUEVO QUEVEDO, LOTIZACION EL CAUJE, RECINTO SAN MIGUEL, SECTOR GALO PLAZA, RECINTO LA CADENA, RECINTO PAPAYAL, SECTOR CASCO COMERCIAL 3, RECINTO GALLO GIRO Y PAMBILAR DE MINOAPE, SECTOR GUAYACAN-LA PERLA, SECTOR CASCO COMERCIAL-CAMAL, LOTIZACION PROGRESO-LA VIRGINIA, SECTOR LA MONTOYA, SECTOR 7 DE OCTUBRE-HOSPITAL, SECTOR MIRADOR-ATASCOSO, RECINTO LAS MORAS, SECTOR LADY LOURDES, RECINTO AGUAS BLANCAS, RECINTO SAN ANTONIO V{IA LA CHINA, RECINTO CHIPE MINUAPE, RECINTO EL DELIRIO I, RECINTO PAVON CHIPE, RECINTO TOQUILLAL, RECINTO LA CHONTA 1, RECINTO LA CHONTA 1, RECINTO HIGUERONES, LOTIZACION SAN FELIPE-QUEVEDO, LOTIZACION MARIA AYALA, SECTOR NUEVA ESPERANZA, SECTOR MIRADOR-ATASCOSO, SECTOR 7 DE OCTUBRE 3, SECTOR NUEVA PATRIA, CDLA SAN PEDRO, SECTOR PARAISO-CANCAHUA-LOS ANGELES, LOTIZACION HOGAR PARA LOS POBRES, RECINTO BELLA UNION, RECINTO LA FLECHA, SECTOR NUEVA ESPERANZA-SAN CARLOS, LOTIZACION EL PORVENIR, RECINTO SAN VICENTE, LOTIZACION VILLA FRANCA, RECINTO LA SUCRE, RECINTO BELLA SOMBRA, SECTOR CASCO COMERCIAL3 ATASCOSO, RECINTO LA COLONIA, RECINTO AGUAS BLANCAS VÍA LA CHINA, RECINTO SAN MIGUEL, RECINTO MANGO AZUL, RECINTO 4 VIENTOS, RECINTO LA ANGOSTURA, SECTOR GUAYACAN 1, RECINTO LA COLONIA, RECINTO MINAS DE COROTU, RECINTO MINAS DE COROTU, RECINTO CHIPE MINUAPE, RECINTO SAN MIGUEL, SECTOR 17 DE MARZO, RECINTO LA CADENA, RECINTO MAGDALENA, RECINTO PICHILINGUE Y CARRETERO VIEJO, SECTOR 7 DE OCTUBRE2, RECINTO EL RECUERDO, RECINTO CALABI, SECTOR 7 DE OCTUBRE-HOSPITAL2, LOTIZACION LA CAROLINA, RECINTO LA CHONTA 2, SECTOR 7 DE OCTUBRE, LOTIZACION SAN JOSE FAISSAL, SECTOR SAN CARLOS SUR, RECINTO ESTANCIA NUEVA, RECINTO EL DELIRIO II, RECINTO LA VIRGINIA II, RECINTO LA JUANITA, RECINTO MINAS DE COROTU, RECINTO 3 MARIAS, LOTIZACION SAN JOSE, LOTIZACION SAN JOSE FAISSAL, SECTOR DEL COLISEO- CASCO COMERCIAL 4-5, RECINTO LA CHINA VÍA QUEVEDO, RECINTO TOQUILLAL, RECINTO ESTERO DE DAMA Y SAN FRANCISCO, RECINTO ESTERO DE DAMA Y SAN FRANCISCO, CDLA SAN AGUSTIN, RECINTO COME GALLO, RECINTO MANGO DE FLORES, SECTOR LAS AMERICAS, AVENIDA WALTER ANDRADE FAJARDO, SECTOR GUAYACAN 3, LOTIZACION IBARRA SUR1, RECINTO LOS ALMENDROS, RECINTO HIGUERONES, LOTIZACION SAN JAVIER, RECINTO LA CHINA, RECINTO LA CHINA, RECINTO CASA GUARE, RECINTO AGUAS BLANCAS VÍA LA CHINA, SECTOR LA LADERA, LOTIZACION EL DESQUITE CENTRO, RECINTO LOS ALMENDROS, LOTIZACION EL NUEVO DESQUITE, LOTIZACION NOVENA - LOS CHOFERES, RECINTO LA VIRGINIA I, SECTOR NUEVA ESPERANZA, RECINTO SAN VICENTE VÍA LA CHINA, CIUDADELA TUNGURAHUENSES, RECINTO AGUAS BLANCAS, LOTIZACION IBARRA SUR, SECTOR GUAYACAN 2, LOTIZACION NUEVO DESQUITE 1, LOTIZACION UNION POPULAR, CDLA SANTA ROSA-SAN CARLOS, LOTIZACION GEO FERNANDEZ, LOTIZACION SAN JOSE, LOTIZACION SAN JOSE, RECINTO NUEVO MOPA, RECINTO LA CHINA, SECTOR CASCO COMERCIAL 3, LOTIZACION SAN FELIPE-QUEVEDO, RECINTO LA VIRGINIA I, RECINTO LA VIRGINIA II, SECTOR CAROLINA-LOS SAUCES, SECTOR NUEVA ESPERANZA, LOTIZACION LA CAROLINA, RECINTO LA CHONTA 2, SECTOR LA MONTOYA, LOTIZACION SAN JAVIER, RECINTO LA VIRGINIA II, SECTOR LORETO, COOPERATIVA NUEVA AVENTURA, COOPERATIVA NUEVA AVENTURA, RECINTO EL DELIRIO II, RECINTO LA CHINA, RECINTO SAN VICENTE, RECINTO AGUAS BLANCAS, SECTOR SAN JOSE SUR, RECINTO PUERTO ROMERO, RECINTO ZAVALOS DE ABAJO, RECINTO LA PIRAGUA, SECTOR LORETO</t>
  </si>
  <si>
    <t>RECINTO CHOLLO, RECINTO GUALPE, RECINTO SAN MELECIO, RECINTO PICE DEL TARRO, RECINTO LA REFORMA, RECINTO OCHOA ATASCOS, RECINTO PICE GONZALES, RECINTO SAN PABLO 2, SECTOR NARCISA DE JESUS - SOLES BELLA UNION, LOTIZACION EL PLACER 1-2, RECINTO SAN JOSE DE LA UNIÓN, RECINTO ANA MARIA, RECINTO LA EXPERIENCIA, RECINTO AMA MARIA DE ARRIBA, RECINTO EL TRIUNFO, RECINTO LA UNION 2, SECTOR SAN FRANCISCO, RECINTO LAMPADERA, SECTOR SAN AGUSTIN - CREAMOS VIVEN, RECINTO MOZUELO, RECINTO LA UNION 3, RECINTO CHIPE VALENCIA, RECINTO ANA MARIA, RECINTO AGUAS CLARAS, RECINTO LA EXPERIENCIA, RECINTO GUAMANI, RECINTO LOS LAURELES, RECINTO GUAMPE VÍA LA CADENA, RECINTO AGUACATE DE PISE, RECINTO LA UNION, LOTIZACION NIÑO DEL SINCHE, RECINTO EL RECREO NORTE, RECINTO LA ESPERANZA P2, RECINTO LA BLANQUITA, RECINTO LA REFORMA, RECINTO GUAMPE DE ABAJO, RECINTO LOS LAURELES, RECINTO LAMPA, RECINTO VALLE NEGRO, RECINTO 12 DE OCTUBRE, LOTIZACION EL PLACER 1-2, COOPERATIVA 12 DE JULIO-LOT ISABEL, LOTIZACION ABEL JIMENEZ, SECTOR SAN FRANCISCO, RECINTO EL TRIUNFO, RECINTO LAS CHAVICAS, RECINTO NI UN PASO ATRÁS, AVENIDA 13 DE DICIEMBRE, LOTIZACION EL PLACER 1-2, RECINTO LA UNION 3, RECINTO LA UNION 2, LOTIZACION LA MODERNA- CENTRAL, RECINTO LA UNION, LOTIZACION EL PLACER 1-2, RECINTO CHIPE VALENCIA, RECINTO LAS CHAVICAS NORTE, LOTIZACION ATASCOSO - EL PARAISO, RECINTO PISE EL TARRO, RECINTO AMA MARIA DE ARRIBA, RECINTO EL TRIUNFO, RECINTO ESFUERZO DE MINOAPE, RECINTO PICE CACHURI, RECINTO SAN ALFONSO, CIUDADELA EL PLACER, RECINTO LA UNION, RECINTO MATECITO, RECINTO STA. MARTHA, SECTOR LUIS FELIPE DIAS - LA FELICIDAD, RECINTO COSTA AZUL, SECTOR MERCEDES- PRIMAVERA- VALENCIA, SECTOR SAN FRANCISCO UNO, RECINTO LA UNION 3, RECINTO PINELA, RECINTO AGUAS CLARAS, RECINTO EL TRIUNFO, RECINTO 6 DE AGOSTO</t>
  </si>
  <si>
    <t>Cantón Machala. Sectores: Urbanización San Patricio, Las Acacias. Urbanización Ciudad del Sol, Centro de Salud Velasco Ibarra</t>
  </si>
  <si>
    <t>Todo el cantón Balao y sitios aledaños. Parroquia Tenguel del cantón Guayaquil y parte industrial del sitio Shumiral</t>
  </si>
  <si>
    <t>Cantón Machala. Sectores: Calle Bolívar desde la calle Arízaga hasta la calle Ayacucho. Gobernación,, antiguo Hospital del IESS, Corte Superior de Justicia. Calle Rocafuerte desde la av. Las Palmeras hasta la calle Ayacucho</t>
  </si>
  <si>
    <t>Cantón Machala. Sectores: Calle 10  de agosto desde la calle Rocafuerte hasta la calle Arizaga ; calle Bolívar desde la 10 de Agosto hasta la calle Ayacucho, calle Pichincha desde la calle 10 de Agosto hasta la calle Junín, Calle Junin desde la calle Bolívar hasta la calle Rocafuerte .</t>
  </si>
  <si>
    <t>Cantón Machala. Sectores: Ciro Cerato, Via Pajonal , Gasolinera movil ,Callle Arizaga desde la vía pajonal hasta la la calle 9 de mayo , calle 10 desde agosto de la calle Arizaga hasta la San Martín, Calle San Martín desde la calle 10 de agosto hasta la calle Juan Montalvo.</t>
  </si>
  <si>
    <t>Cantón Atahualpa.  Vira, Puente deBuza, Todo el cantón Atahualpa, parroquia Huertas del cantón Zaruma.</t>
  </si>
  <si>
    <t>Cantón Arenillas. Sectores: Panamericana vía a Huaquillas, Redondel de la entrada a Arenillas, Represa de Tahuín, Hillaty Resort. Todo el cantón Las Lajas y sus parroquias.</t>
  </si>
  <si>
    <t>Cantón El Guabo. Sectores: Parroquia Bajo Alto, Parroquia Barbones, Parroquia Tendales.</t>
  </si>
  <si>
    <t>Cantón Zaruma. Sector industrial y minero del cantón Zaruma y sus parroquias excepto la parroquia Huertas y sitio Minas Nuevas. Zarumahurco, Cementerio, Ramírez Pamba</t>
  </si>
  <si>
    <t>Todo el cantón Santa Rosa</t>
  </si>
  <si>
    <t>Todo el cantón Arenillas y Las Lajas</t>
  </si>
  <si>
    <t>Todo el cantón Huaquillas</t>
  </si>
  <si>
    <t>Todo el cantón Balsas y Marcabelí</t>
  </si>
  <si>
    <t>Cantones Piñas, Portovelo, Zaruma y Atahualpa</t>
  </si>
  <si>
    <t>Cantón El Guabo. Sitio Río Bonito, Sitio Los Naranjos, San Idelfonso.</t>
  </si>
  <si>
    <t>Cantón El Guabi. Sitio Sabana de Pagua</t>
  </si>
  <si>
    <t>La Vía Vinces-Isla de Bejucal, Isla de Bejucal, San Antonio, Hcda Los Ángeles, El Rosal,  Cañaveral 1 Y 2, La Reveza, La Reserva, Machinaza, Candilejo,  Punta del Este, Las Mercedes, Los Cedros, Casa de Tejas, El Garzal, Tamarindo, La Balza, Coop. Solbrisa, San Lorenzo,  Las Cañitas, Pechiche, San Francisco de Chojampe, Las Pampas, El Jobo, Carrizal, Santa Rosa de Gálvez, El Carbón, Jujanillo, La Panchita, El Maduro, La Tranca, Comuna Tapador y Arenales. Avenida Córdova, Calle Teniente Hugo Ortiz, Calle Sucre, Calle José Gómez, Calle Vicente Carbo, QUICORNAC S.A.Poza Seca, Estero de en Medio, Vía Junquillo, EL Porvenir, Atascoso,  El Garzar, El Hacha # 1 y 2, Hcda Americana, Palizada, Bahía Carrillo, El Edén, Parroquia Sotomayor, El Cairo, Bagatela, El Mango, La Tranca, Estrella Roja, Balzar de Vinces, La Campiña, Las Animas, Malvar, Banepo y La Cuba. La Nicaragua, Sector del Tanque Elevado, Colegio 10 de Agosto, Coop. Augusto Valencia, San Rafael, El Recuerdo, Abras de Mantequilla,  Templanza, Estero de Lagarto,  El Delirio, La Mecha,  Vuelta Larga, Rcto. La Raíz, Aguacatal de Abajo, Atascoso, Rancho Grande, Avenida San Juan de Babahoyo.</t>
  </si>
  <si>
    <t>Poco a poco, San Pedro, Las Cañitas, Jujan (Urbano), Las Cañitas, ToniCorp, Poco a Poco, Mamanica, El Tigrillo, Pajonal, Libertad de Ñauza, La Javilla, Mata Caña, Tres Postes, Loma Peliada, El Tillo, Complejo Turístico Rey Park, VECONSA S.A. (Facundo) y Agroguled S.A.  La Rodríguez, Nueva Esperanza, La Corona,  24 de Mayo, Piladora Villacrés, La Mascota, Sabaneta, San Joaquín, El Rosal,  La Guadalupe, La Huaquilla, La Alcancía, San Eleuterio, Las Cruces, Santa Cecilia,  La Pretoria, La Industria, La Nena Grande, Samama Oriental, El Mirador, Nena Chica, La Esmeralda, El Limón y Sector Urbano del Cantón Montalvo (Las Antenas, Gasolineras). El Cedral, Los Beldacos, San Rafael, La Maravilla, Hacienda Clementina. Puertas Negras, Facultad de Agronomía de la UTB, La Pinela y La Maritza.</t>
  </si>
  <si>
    <t xml:space="preserve"> Marañón, La Venganza, Peñarol, Cimarrón, La Francia, Rosa Amelia, Mantuano, Curiquingue, Versalles, Palmar, 5 de Mayo, Roblecito, San Pedro, Nueva Esperanza, La Porteña, La Unión, Pajonal, Concepción, Chinate, Monte Oscuro, La Estacada, Flor del Monte, Parroquia Guare, La Carmela, La Carmelita, Chorrón, Abras Grandes, Maderas Negras y San Antonio.  Cdla. El Paraíso, Jacqueline, Tinoco, Coop. Flor del Guayas, Coop. Relicario, La Higuerilla, San José de Tinoco, La Rabuda, Eugenio Espejo, San Joaquín, La Sémira 1 y 2, Coop. Aguirre Abad y Coop. 27 de Noviembre. Parroquia Pimocha, El Arenal, La Carmelita, Coop. El Porvenir, La Alegría 1 y 2, La Fortuna, La Carolina 1 y 2, El Naranjo, San Ignacio, Poza de Mate, La Margarita, La Legua de Los Indios, Los Colorados, San Fernando, Coop. 30 de Junio, El Sarten, La Hornilla, La Mina, La Lucha, San Luis, Guarumal, El Aromo, El Naranjillo, El Jazmín y Flor De Los Ríos. </t>
  </si>
  <si>
    <t>Poco a poco, San Pedro, Las Cañitas, Jujan (Urbano), Las Cañitas, ToniCorp, Poco a Poco, Mamanica, El Tigrillo, Pajonal, Libertad de Ñauza, La Javilla, Mata Caña, Tres Postes, Loma Peliada, El Tillo, Complejo Turístico Rey Park, VECONSA S.A. (Facundo) y Agroguled S.A.ciudadelas El Ciprés y Ximena 7.</t>
  </si>
  <si>
    <t>SECTOR LOS SAUCES</t>
  </si>
  <si>
    <t>PUERTO PECHICHE, LAS PAULINAS DEL 1 AL 5, TRES BOCAS, SAN RAMON, PUERTO DE ORO, LAS TABLAS, MEXICO LINDO, LAS MARIANITAS</t>
  </si>
  <si>
    <t>Pueblo nuevo, las cañitas, la macarena, la teresa, la represa, recinto la revesa, recinto la palma, recinto 7 hermanos.</t>
  </si>
  <si>
    <t>Ventanas, avenida 10 de agosto y nueve de octubre</t>
  </si>
  <si>
    <t>Ventanas, avenida seminario y 10 de agosto</t>
  </si>
  <si>
    <t>Ventanas,  calle Los Rios y Guayas</t>
  </si>
  <si>
    <t>Ventanas, avenida seminario y velasco ibarra</t>
  </si>
  <si>
    <t>Ventanas, calle pacifico gordillo y jose chamorro</t>
  </si>
  <si>
    <t>Ventanas, calle pacifico gordillo y calabi</t>
  </si>
  <si>
    <t>Sector La Ercilia,</t>
  </si>
  <si>
    <t>Quinsaloma, avenida 3 de mayo y simon bolivar</t>
  </si>
  <si>
    <t>Ventanas, avenida 10 de agosto y 9 de octubre</t>
  </si>
  <si>
    <t>Ventanas, calle raquel cotto y ricardo astudillo</t>
  </si>
  <si>
    <t>Ventanas, calle justino cornejo  y ricardo astudillo</t>
  </si>
  <si>
    <t>Ventanas, Ciudadela 10 de diciembre y ciudadela bellavista</t>
  </si>
  <si>
    <t>Ventanas, calle raquel cotto y 10 de noviembre</t>
  </si>
  <si>
    <t>Ventanas,  calle seminario y velasco ibarra</t>
  </si>
  <si>
    <t>VIA A CHAZO JUAN, VIA A CAMARON, IGLESIA CHAZO JUAN</t>
  </si>
  <si>
    <t>BARRIO SAN MIGUELITO, EL CHORRO, CHALUNGOTO, TIUPITIAN, SAN FRANCISCO, EL SINCHE</t>
  </si>
  <si>
    <t>VÍA A SALINAS, LA MOYA, PUMÍN, TANQUIZAN, SAN VICENTE DE LA PLANCHA, CHALUNGOTO, EL SINCHE GRANDE Y CHICO, PISCOQUERO, VÍA A SIXIPAMBA</t>
  </si>
  <si>
    <t>MATAPALO DE CERRITOS, RECINTO SAN FRANCISCO DE SURUPAMBA, RECINTO LA MARGARITA, RECINTO SAN VICENTE, RECINTO CERRITOS, RECINTO MAMASARA, PERESAN, SAN FRANCISCO DE SUSRUPAMBA, RECINTO BELLO PARAISO</t>
  </si>
  <si>
    <t>VIA A LOURDES, LA VILLAMORA, ESCUELA JUAN PIO DE MORA, ESCUELA CUERO Y CAICEDO, ESCUELA QUITORO VILLAMORA, MORASPAMBA, HABASPAMBA, CHIMA GRANDE, CHIMA CHICA, CUITORO</t>
  </si>
  <si>
    <t>CLÍNICA SAN PATRICIO, MIES, SECTOR PLAZA 15 DE MAYO, CALLE SELVA ALEGRE, PARQUE ECHEANDÍA, AV. CÁNDIDO RADA, AV. GENERAL ENRÍQUEZ CALLE AZUAY, ESCUELA MANUEL DE ECHEANDÍA, COLEGIO VERBO DIVINO, COLEGIO PEDRO CARBO</t>
  </si>
  <si>
    <t>CANTÓN ECHEANDÍA, CANTÓN LAS NAVES, PARROQUIA SAN LUIS DE PAMBIL</t>
  </si>
  <si>
    <t>RECINTO SICOTO, CANTÓN CHILLANES, PARROQUIA SAN PABLO, BILOVÁN, LAS GUARDIAS, CHANGUIL, REGULO DE MORA, ACILO DE ANCIANOS DE SAN MIGUEL</t>
  </si>
  <si>
    <t>No se tiendra clientes afectados, se realizará transferencia de carga</t>
  </si>
  <si>
    <t xml:space="preserve">Puerto azul 
Brisas aguarico 1 y 2 
El eno 
Puerto aguarico 
Procoperativa nueva libertad 
Precooperitva llansaza
Precooperativa tubones 
24 septiembre
Jesus del gran poder 
</t>
  </si>
  <si>
    <t>Barrio El Moretal, Barrio Río Coca, Tiwintza, Cóndor Mirador, Primavera, Abdón Calderón, 28 de Marzo, Con Hogar, Unión y Progreso, Cambahuasi, 27 de Octubre, Perla Amazónica, B. Conhogar. parte del Barrio Julio Llori, Avenida Alejandro Labaka, aeropuerto, Brigada Militar Napo, B. Flor de Oriente.B. El Moretal, 30 de Abril, 24 de Mayo, 12 de Noviembre, Ñucanchiwasi, Turismo Ecológico, Las Américas, Los Sauces, Zapotal, La Florida, Los Ceibos, Los Sauces, Luis Guerra, Los Rosales, Paraíso Amazónico, 6 de Diciembre, tramos a lo largo de la calle Ambato.Barrio 20 de Mayo, Santa Rosa, B. Central, Julio Llori, parte del Barrio Moretal, tramos a lo largo de la avenida Napo, parte de B. las Américas,Barrio el Moretal, Julio LLori, Paraiso Amazonico, Las Americas, Santa rosa, B. Central,  20 de Mayo, El Dorado, Taracoa, San Vicente, San Carlos, Taracoa, Centinela de la Patria, Estación de Bombeo Yuca Central, 24 de Diciembre, Nueva Esperanza, Yuca, Pumiguakucha, La Florida, Dayuma, 6 de Octubre, Juan Montalvo, El Cóndor, Nueva Unión, Estación Sur de Bombeo, Centro Aucayacu, Tiputini, Folklor de Oriente, Western, Ines Arango, Valle de Los Aucas, Cononaco, 3 de Octubre, Los Reyes, Bataboro, Tiwino, Higuerón, Flor de la Palma, Cristal , Playa de Oriente, Casique Jumandi, Jaime Roldós, Pindo, Kupi, 12 de Octubre, Cupi, Inés Arango, santa Rosa, Rodrigo Borja, Loma del Tigre, Shiriopuno, Huancavilca, Guayacán, Auca Sur 1, Rumipamba, El Esfuerzo, Guayacan, Bataboro, Nuevas Fronteras,Yawepare, La Andina, Pre Coop. Cononaco, Kunkuk, vía Los Zorros, Flor Oriente, García Moreno, La Magdalena, Las Palmas, San Francisco de Cononaco, Gran Puyango, Puerto Colón, Caspicara, Puerto San Miguel, Puerto Salazar, Mono 1 y 2, Juaguar, La Belleza, Las Mieles.Parte B. Moretal, B. Río Coca, Comuna Huayusa, Vía a la pista de motocros, Estrella del Oriente, Estación Coca, Atacapi, Nuevo Paraíso, San Cristóbal, Juan Pablo II, Unión Chimborazo, Grua Atlas, Sachabras, Cyfoil, Triboilgas, Inspeca Petroservisupply, Sertecpet, Las Minas, Callanayacu, Vía a Nuevo Paraiso, San Miguel de Guayusa, Hospital Psicquiatrico Fasofeifa, San José de Huayusa, Pre. Coop. Huashito, Vencedores, Corazón de Oriente, Huachito 2, San Lorenzo, 15 de Abril, San Antonio de Cañaris, Dumbique, Palmar del Río, Las Cayanas, Santa Catalina, Río Punino, San Bartolo y toda la vía Coca - San Sebastián, Riveras del río Punino, Vía Alterna a Juan Pable IBarrio 6 de Diciembre, Lotización Gavilanez, Unión Imbabureña, Flor Pantano, Nuevo Coca, Guadalupe Larriva, la vía a Loreto, Flor del Pantano, B. Unión Imbabureña, San Luis de Armenia, vía a comuna Estrella Yacu, 11 de Marzo, 15 de Enero, Bellavista, El Rancho, Kichwa Mushuc,  El Rosio, Comuna San Francisco de Asis, Corazón de Jesús, El Triunfo, Alto Manduro, Caspisapa, Manduro, Flor de Manduro, Alto Manduro,San Antonio, Pata Yacus, Capitán Trujillo, Nueva Esperanza, Los Volcanes, El Bosque, 6 de Enero, El Refugio, Coperativa El Rocio, Pacu Rumis, Mushuk Ayllus, Antonio José de Sucre, Patas YAcu, Néstor Jiménez.Parte Barrio Julio Llori, Paraíso Amazónico, parte barrio Las Américas, Barrio Central, Avenida 9 de Octubre, B. Central, Santa Rosa, 12 de Noviembre, 20 de Mayo, Los Rosales, partedel B Moretal</t>
  </si>
  <si>
    <t>TIPO DE TRABAJO</t>
  </si>
  <si>
    <t>San José del Tambo</t>
  </si>
  <si>
    <t>Tambo</t>
  </si>
  <si>
    <t>03SI060T13</t>
  </si>
  <si>
    <t>Cambio de transformador de potencia</t>
  </si>
  <si>
    <t>Cambio de conductor</t>
  </si>
  <si>
    <t>Trabajos para nuevo alimentador</t>
  </si>
  <si>
    <t>Cambio de estructuras</t>
  </si>
  <si>
    <t>Cambio de seccionadores</t>
  </si>
  <si>
    <t>Instalación de cuchillas de transición</t>
  </si>
  <si>
    <t>Energización de nuevo transformador de potencia</t>
  </si>
  <si>
    <t>Readecuación de líneas de subtransmisión</t>
  </si>
  <si>
    <t>Interconexión de nueva línea</t>
  </si>
  <si>
    <t>Cambio de topología en subtransmisión</t>
  </si>
  <si>
    <t>Corrección de anomalías térmicas</t>
  </si>
  <si>
    <t>Reemplazo de seccionadores</t>
  </si>
  <si>
    <t>Aplome de postes</t>
  </si>
  <si>
    <t>Cambio de postes</t>
  </si>
  <si>
    <t>Cambio de aisladores y desbroce</t>
  </si>
  <si>
    <t>Reconfiguración de línea</t>
  </si>
  <si>
    <t>Mantenimiento en el Sistema Nacional de Transmisión</t>
  </si>
  <si>
    <t>Mantenimiento al Transformador de Potencia</t>
  </si>
  <si>
    <t>Mantenimiento en Línea de subtransmisión</t>
  </si>
  <si>
    <t>Mantenimiento en transformador de potencia</t>
  </si>
  <si>
    <t>Repotenciación de línea</t>
  </si>
  <si>
    <t>Construcción de red media tensión</t>
  </si>
  <si>
    <t>Mantenimiento en subestación</t>
  </si>
  <si>
    <t>Puesta en operación de subestación</t>
  </si>
  <si>
    <t>Cambio de conductor aislado</t>
  </si>
  <si>
    <t>Mejoras de red de media tensión</t>
  </si>
  <si>
    <t>Instalación de transformador de Potencia</t>
  </si>
  <si>
    <t xml:space="preserve">Instalación de conductor </t>
  </si>
  <si>
    <t>Puesta en operación de red de media tensión</t>
  </si>
  <si>
    <t xml:space="preserve">Instalación de transformador </t>
  </si>
  <si>
    <t>Cambio de topología en media tensión</t>
  </si>
  <si>
    <t>Cambio de aisladores</t>
  </si>
  <si>
    <t>Cambio de bajantes preemsamblados</t>
  </si>
  <si>
    <t>Cambio de red preemsablada</t>
  </si>
  <si>
    <t>Instalación de puesta a tierra</t>
  </si>
  <si>
    <t>Cambio de bajantes de cobre</t>
  </si>
  <si>
    <t>Instalación de seccionador</t>
  </si>
  <si>
    <t>Instalación de banco de capacitores</t>
  </si>
  <si>
    <t>ROCAFUERTE Y ORELLANA: CAMBIO DE TRANSFORMADOR MONOFASICO DE 250KVA UBICADO EN BOVEDA, SE ABRIRA VIA 2 DE ROPERO UBICADO EN CUARTO ELECTRICO ROCAFUERTE Y ORELLANA</t>
  </si>
  <si>
    <t>CALLE ROCAFUERTE ENTRE JUNIN Y MENDIBURO</t>
  </si>
  <si>
    <t>PLAZA DAÑIN</t>
  </si>
  <si>
    <t xml:space="preserve">Repotenciación de líneas para el ingreso de la nueva subestación Ciudad Colon. </t>
  </si>
  <si>
    <t>JOSÉ CASTILLO</t>
  </si>
  <si>
    <t>Cooperativa Urbanor</t>
  </si>
  <si>
    <t>Calles Jose Castillo y Adelaida Velasco, desde calle Victor H. Sicouret hasta Maria Piedad Castillo de Levi</t>
  </si>
  <si>
    <t>04AM030T12</t>
  </si>
  <si>
    <t>04KN220T13</t>
  </si>
  <si>
    <t>ROCAFUERTE E IMBABURA: CAMBIO DE TRANSFORMADOR MONOFASICO DE 250KVA UBICADO EN BOVEDA. SE ABRIRA VIA 2 DE ROPERO UBICADO EN CUARTO ELECTRICO ROCAFUERTE E IMBABURA</t>
  </si>
  <si>
    <t>ROCAFUERTE Y M. J. CALLE: CAMBIO DE TRANSFORMADOR MONOFASICO DE 250KVA UBICADO EN BOVEDA. SE ABRIRA VIA 2 DE ROPERO UBICADO EN CUARTO ELECTRICO ROCAFUERTE Y M. J. CALLE</t>
  </si>
  <si>
    <t>Repotenciación de líneas MT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</si>
</sst>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quot;* #,##0.00_ ;_ &quot;$&quot;* \-#,##0.00_ ;_ &quot;$&quot;* &quot;-&quot;??_ ;_ @_ "/>
    <numFmt numFmtId="43" formatCode="_ * #,##0.00_ ;_ * \-#,##0.00_ ;_ * &quot;-&quot;??_ ;_ @_ "/>
    <numFmt numFmtId="164" formatCode="[$-409]d\-mmm\-yy"/>
    <numFmt numFmtId="165" formatCode="_ [$$-300A]* #,##0.00_ ;_ [$$-300A]* \-#,##0.00_ ;_ [$$-300A]* &quot;-&quot;??_ ;_ @_ "/>
    <numFmt numFmtId="166" formatCode="_ * #,##0_ ;_ * \-#,##0_ ;_ * &quot;-&quot;??_ ;_ @_ "/>
  </numFmts>
  <fonts count="15" x14ac:knownFonts="1">
    <font>
      <sz val="11"/>
      <color theme="1"/>
      <name val="Calibri"/>
      <family val="2"/>
      <scheme val="minor"/>
    </font>
    <font>
      <b/>
      <sz val="8"/>
      <color rgb="FFFFFFFF"/>
      <name val="Calibri"/>
      <family val="2"/>
    </font>
    <font>
      <sz val="8"/>
      <color rgb="FF000000"/>
      <name val="Calibri"/>
      <family val="2"/>
      <scheme val="minor"/>
    </font>
    <font>
      <sz val="8"/>
      <color rgb="FF000000"/>
      <name val="Calibri"/>
      <family val="2"/>
    </font>
    <font>
      <sz val="8"/>
      <color theme="1"/>
      <name val="Arial"/>
      <family val="2"/>
    </font>
    <font>
      <sz val="8"/>
      <color rgb="FF000000"/>
      <name val="Arial"/>
      <family val="2"/>
    </font>
    <font>
      <sz val="8"/>
      <color theme="1"/>
      <name val="Calibri"/>
      <family val="2"/>
    </font>
    <font>
      <sz val="8"/>
      <color theme="1"/>
      <name val="Calibri"/>
      <family val="2"/>
      <scheme val="minor"/>
    </font>
    <font>
      <b/>
      <sz val="8"/>
      <color rgb="FF000000"/>
      <name val="Calibri"/>
      <family val="2"/>
    </font>
    <font>
      <sz val="11"/>
      <color theme="1"/>
      <name val="Calibri"/>
      <family val="2"/>
      <scheme val="minor"/>
    </font>
    <font>
      <b/>
      <sz val="11"/>
      <color theme="1"/>
      <name val="Calibri"/>
      <family val="2"/>
      <scheme val="minor"/>
    </font>
    <font>
      <b/>
      <sz val="14"/>
      <color theme="1"/>
      <name val="Calibri"/>
      <family val="2"/>
      <scheme val="minor"/>
    </font>
    <font>
      <sz val="8"/>
      <name val="Calibri"/>
      <family val="2"/>
    </font>
    <font>
      <sz val="8"/>
      <name val="Arial"/>
      <family val="2"/>
    </font>
    <font>
      <sz val="9"/>
      <name val="Calibri"/>
      <family val="2"/>
      <scheme val="minor"/>
    </font>
  </fonts>
  <fills count="13">
    <fill>
      <patternFill patternType="none"/>
    </fill>
    <fill>
      <patternFill patternType="gray125"/>
    </fill>
    <fill>
      <patternFill patternType="solid">
        <fgColor rgb="FF1F5C8B"/>
        <bgColor rgb="FF1F5C8B"/>
      </patternFill>
    </fill>
    <fill>
      <patternFill patternType="solid">
        <fgColor rgb="FF92D050"/>
        <bgColor rgb="FF92D050"/>
      </patternFill>
    </fill>
    <fill>
      <patternFill patternType="solid">
        <fgColor rgb="FF00B0F0"/>
        <bgColor indexed="64"/>
      </patternFill>
    </fill>
    <fill>
      <patternFill patternType="solid">
        <fgColor rgb="FF00B0F0"/>
        <bgColor rgb="FF92D050"/>
      </patternFill>
    </fill>
    <fill>
      <patternFill patternType="solid">
        <fgColor rgb="FFFFFF00"/>
        <bgColor indexed="64"/>
      </patternFill>
    </fill>
    <fill>
      <patternFill patternType="solid">
        <fgColor rgb="FFFFFF00"/>
        <bgColor rgb="FF92D050"/>
      </patternFill>
    </fill>
    <fill>
      <patternFill patternType="solid">
        <fgColor theme="8" tint="0.79998168889431442"/>
        <bgColor indexed="64"/>
      </patternFill>
    </fill>
    <fill>
      <patternFill patternType="solid">
        <fgColor theme="8" tint="0.79998168889431442"/>
        <bgColor rgb="FF92D050"/>
      </patternFill>
    </fill>
    <fill>
      <patternFill patternType="solid">
        <fgColor rgb="FF92D050"/>
        <bgColor indexed="64"/>
      </patternFill>
    </fill>
    <fill>
      <patternFill patternType="solid">
        <fgColor theme="4" tint="0.79998168889431442"/>
        <bgColor indexed="64"/>
      </patternFill>
    </fill>
    <fill>
      <patternFill patternType="solid">
        <fgColor theme="5"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diagonal/>
    </border>
  </borders>
  <cellStyleXfs count="5">
    <xf numFmtId="0" fontId="0"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cellStyleXfs>
  <cellXfs count="108">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20" fontId="3" fillId="4" borderId="1" xfId="0" applyNumberFormat="1" applyFont="1" applyFill="1" applyBorder="1" applyAlignment="1">
      <alignment horizontal="center" vertical="center" wrapText="1"/>
    </xf>
    <xf numFmtId="44" fontId="3" fillId="4" borderId="1"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165" fontId="4" fillId="4" borderId="1" xfId="0" applyNumberFormat="1" applyFont="1" applyFill="1" applyBorder="1" applyAlignment="1">
      <alignment vertical="center" wrapText="1"/>
    </xf>
    <xf numFmtId="0" fontId="3" fillId="5"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20" fontId="3" fillId="6" borderId="1" xfId="0" applyNumberFormat="1" applyFont="1" applyFill="1" applyBorder="1" applyAlignment="1">
      <alignment horizontal="center" vertical="center" wrapText="1"/>
    </xf>
    <xf numFmtId="44" fontId="3" fillId="6" borderId="1"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65" fontId="4" fillId="6" borderId="1" xfId="0" applyNumberFormat="1" applyFont="1" applyFill="1" applyBorder="1" applyAlignment="1">
      <alignment vertical="center" wrapText="1"/>
    </xf>
    <xf numFmtId="0" fontId="3" fillId="7" borderId="1" xfId="0" applyFont="1" applyFill="1" applyBorder="1" applyAlignment="1">
      <alignment horizontal="center" vertical="center" wrapText="1"/>
    </xf>
    <xf numFmtId="44" fontId="3" fillId="6" borderId="5"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3" fillId="6"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0" xfId="0" applyAlignment="1">
      <alignment wrapText="1"/>
    </xf>
    <xf numFmtId="0" fontId="7" fillId="0" borderId="0" xfId="0" applyFont="1" applyAlignment="1">
      <alignment wrapText="1"/>
    </xf>
    <xf numFmtId="0" fontId="3" fillId="8" borderId="1" xfId="0" applyFont="1" applyFill="1" applyBorder="1" applyAlignment="1">
      <alignment horizontal="center" vertical="center" wrapText="1"/>
    </xf>
    <xf numFmtId="164" fontId="3" fillId="8" borderId="1" xfId="0" applyNumberFormat="1" applyFont="1" applyFill="1" applyBorder="1" applyAlignment="1">
      <alignment horizontal="center" vertical="center" wrapText="1"/>
    </xf>
    <xf numFmtId="20" fontId="3" fillId="8" borderId="1" xfId="0" applyNumberFormat="1" applyFont="1" applyFill="1" applyBorder="1" applyAlignment="1">
      <alignment horizontal="center" vertical="center" wrapText="1"/>
    </xf>
    <xf numFmtId="44" fontId="3" fillId="8" borderId="1" xfId="0" applyNumberFormat="1"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165" fontId="4" fillId="8" borderId="1" xfId="0" applyNumberFormat="1" applyFont="1" applyFill="1" applyBorder="1" applyAlignment="1">
      <alignment vertical="center" wrapText="1"/>
    </xf>
    <xf numFmtId="0" fontId="6" fillId="8" borderId="1" xfId="0" applyFont="1" applyFill="1" applyBorder="1" applyAlignment="1">
      <alignment horizontal="center" vertical="center" wrapText="1"/>
    </xf>
    <xf numFmtId="0" fontId="3" fillId="8" borderId="4" xfId="0" applyFont="1" applyFill="1" applyBorder="1" applyAlignment="1">
      <alignment horizontal="center" vertical="center" wrapText="1"/>
    </xf>
    <xf numFmtId="44" fontId="5" fillId="8" borderId="1" xfId="0" applyNumberFormat="1" applyFont="1" applyFill="1" applyBorder="1" applyAlignment="1">
      <alignment horizontal="center" vertical="center" wrapText="1"/>
    </xf>
    <xf numFmtId="0" fontId="3" fillId="8" borderId="0" xfId="0" applyFont="1" applyFill="1" applyAlignment="1">
      <alignment horizontal="center" vertical="center" wrapText="1"/>
    </xf>
    <xf numFmtId="0" fontId="5" fillId="8" borderId="1" xfId="0" applyFont="1" applyFill="1" applyBorder="1" applyAlignment="1">
      <alignment horizontal="center" vertical="center" wrapText="1"/>
    </xf>
    <xf numFmtId="44" fontId="5" fillId="8" borderId="5"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wrapText="1"/>
    </xf>
    <xf numFmtId="0" fontId="0" fillId="0" borderId="0" xfId="0" applyAlignment="1">
      <alignment horizontal="center" wrapText="1"/>
    </xf>
    <xf numFmtId="0" fontId="0" fillId="0" borderId="0" xfId="0" applyFill="1" applyAlignment="1">
      <alignment wrapText="1"/>
    </xf>
    <xf numFmtId="0" fontId="3" fillId="8" borderId="3"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0" fontId="0" fillId="0" borderId="7" xfId="0" applyBorder="1"/>
    <xf numFmtId="0" fontId="10" fillId="0" borderId="7" xfId="0" applyFont="1" applyBorder="1"/>
    <xf numFmtId="43" fontId="0" fillId="0" borderId="7" xfId="1" applyFont="1" applyBorder="1"/>
    <xf numFmtId="43" fontId="10" fillId="0" borderId="7" xfId="1" applyFont="1" applyBorder="1"/>
    <xf numFmtId="44" fontId="0" fillId="0" borderId="7" xfId="2" applyFont="1" applyBorder="1"/>
    <xf numFmtId="44" fontId="10" fillId="0" borderId="7" xfId="2" applyFont="1" applyBorder="1"/>
    <xf numFmtId="166" fontId="0" fillId="0" borderId="7" xfId="1" applyNumberFormat="1" applyFont="1" applyBorder="1"/>
    <xf numFmtId="166" fontId="10" fillId="0" borderId="7" xfId="1" applyNumberFormat="1" applyFont="1" applyBorder="1"/>
    <xf numFmtId="0" fontId="3"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3" fillId="10" borderId="1" xfId="0" quotePrefix="1" applyFont="1" applyFill="1" applyBorder="1" applyAlignment="1">
      <alignment horizontal="center" vertical="center" wrapText="1"/>
    </xf>
    <xf numFmtId="0" fontId="3" fillId="10"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wrapText="1"/>
    </xf>
    <xf numFmtId="20" fontId="12" fillId="8"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1" fillId="0" borderId="0" xfId="0" applyFont="1" applyAlignment="1">
      <alignment horizontal="center" wrapText="1"/>
    </xf>
    <xf numFmtId="0" fontId="3" fillId="8" borderId="3" xfId="0" applyFont="1" applyFill="1" applyBorder="1" applyAlignment="1">
      <alignment horizontal="center" vertical="center" wrapText="1"/>
    </xf>
    <xf numFmtId="0" fontId="3" fillId="10" borderId="1" xfId="0" applyFont="1" applyFill="1" applyBorder="1" applyAlignment="1">
      <alignment vertical="center" wrapText="1"/>
    </xf>
    <xf numFmtId="0" fontId="3" fillId="8" borderId="3" xfId="0" applyFont="1" applyFill="1" applyBorder="1" applyAlignment="1">
      <alignment horizontal="center" vertical="center" wrapText="1"/>
    </xf>
    <xf numFmtId="0" fontId="14" fillId="11" borderId="7" xfId="0" quotePrefix="1" applyFont="1" applyFill="1" applyBorder="1" applyAlignment="1">
      <alignment horizontal="center" vertical="center"/>
    </xf>
    <xf numFmtId="0" fontId="3" fillId="8" borderId="8" xfId="0" applyFont="1" applyFill="1" applyBorder="1" applyAlignment="1">
      <alignment horizontal="center" vertical="center" wrapText="1"/>
    </xf>
    <xf numFmtId="164" fontId="3" fillId="8" borderId="8" xfId="0" applyNumberFormat="1" applyFont="1" applyFill="1" applyBorder="1" applyAlignment="1">
      <alignment horizontal="center" vertical="center" wrapText="1"/>
    </xf>
    <xf numFmtId="20" fontId="3" fillId="8" borderId="8" xfId="0" applyNumberFormat="1" applyFont="1" applyFill="1" applyBorder="1" applyAlignment="1">
      <alignment horizontal="center" vertical="center" wrapText="1"/>
    </xf>
    <xf numFmtId="44" fontId="3" fillId="8" borderId="8"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4" fillId="8" borderId="8" xfId="0" applyNumberFormat="1" applyFont="1" applyFill="1" applyBorder="1" applyAlignment="1">
      <alignment vertical="center" wrapText="1"/>
    </xf>
    <xf numFmtId="0" fontId="3" fillId="10" borderId="8"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0" fillId="0" borderId="0" xfId="0" applyAlignment="1">
      <alignment vertical="center" wrapText="1"/>
    </xf>
    <xf numFmtId="0" fontId="3" fillId="8" borderId="10"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11" xfId="0" applyFont="1" applyFill="1" applyBorder="1" applyAlignment="1">
      <alignment horizontal="center" vertical="center" wrapText="1"/>
    </xf>
    <xf numFmtId="164" fontId="3" fillId="8" borderId="7" xfId="0" applyNumberFormat="1" applyFont="1" applyFill="1" applyBorder="1" applyAlignment="1">
      <alignment horizontal="center" vertical="center" wrapText="1"/>
    </xf>
    <xf numFmtId="20" fontId="3" fillId="8" borderId="7" xfId="0" applyNumberFormat="1" applyFont="1" applyFill="1" applyBorder="1" applyAlignment="1">
      <alignment horizontal="center" vertical="center" wrapText="1"/>
    </xf>
    <xf numFmtId="44" fontId="3" fillId="8" borderId="7" xfId="0" applyNumberFormat="1" applyFont="1" applyFill="1" applyBorder="1" applyAlignment="1">
      <alignment horizontal="center" vertical="center" wrapText="1"/>
    </xf>
    <xf numFmtId="0" fontId="3" fillId="9" borderId="7" xfId="0" applyFont="1" applyFill="1" applyBorder="1" applyAlignment="1">
      <alignment horizontal="center" vertical="center" wrapText="1"/>
    </xf>
    <xf numFmtId="165" fontId="4" fillId="8" borderId="7" xfId="0" applyNumberFormat="1" applyFont="1" applyFill="1" applyBorder="1" applyAlignment="1">
      <alignment vertical="center" wrapText="1"/>
    </xf>
    <xf numFmtId="0" fontId="3" fillId="10" borderId="7"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11" fillId="0" borderId="0" xfId="0" applyFont="1" applyAlignment="1">
      <alignment horizontal="center" wrapText="1"/>
    </xf>
    <xf numFmtId="0" fontId="3" fillId="8" borderId="3" xfId="0" applyFont="1" applyFill="1" applyBorder="1" applyAlignment="1">
      <alignment horizontal="center" vertical="center" wrapText="1"/>
    </xf>
    <xf numFmtId="0" fontId="3" fillId="8" borderId="6" xfId="0" applyFont="1" applyFill="1" applyBorder="1" applyAlignment="1">
      <alignment horizontal="center" vertical="center" wrapText="1"/>
    </xf>
  </cellXfs>
  <cellStyles count="5">
    <cellStyle name="Millares" xfId="1" builtinId="3"/>
    <cellStyle name="Millares 2" xfId="3"/>
    <cellStyle name="Moneda" xfId="2" builtinId="4"/>
    <cellStyle name="Moneda 2" xfId="4"/>
    <cellStyle name="Normal" xfId="0" builtinId="0"/>
  </cellStyles>
  <dxfs count="2">
    <dxf>
      <numFmt numFmtId="34" formatCode="_ &quot;$&quot;* #,##0.00_ ;_ &quot;$&quot;* \-#,##0.00_ ;_ &quot;$&quot;* &quot;-&quot;??_ ;_ @_ "/>
    </dxf>
    <dxf>
      <numFmt numFmtId="34" formatCode="_ &quot;$&quot;* #,##0.00_ ;_ &quot;$&quot;* \-#,##0.00_ ;_ &quot;$&quot;*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SE ROBERTO CAJAS GONZALEZ" refreshedDate="46164.751572453701" createdVersion="5" refreshedVersion="5" minRefreshableVersion="3" recordCount="91">
  <cacheSource type="worksheet">
    <worksheetSource ref="A5:W95" sheet="BASE COMPLETA"/>
  </cacheSource>
  <cacheFields count="23">
    <cacheField name="Nro. " numFmtId="0">
      <sharedItems containsSemiMixedTypes="0" containsString="0" containsNumber="1" containsInteger="1" minValue="1" maxValue="91"/>
    </cacheField>
    <cacheField name="Empresa" numFmtId="0">
      <sharedItems count="9">
        <s v="CNEL BOLIVAR"/>
        <s v="CNEL EL ORO"/>
        <s v="CNEL GUAYAS LOS RIOS"/>
        <s v="CNEL LOS RIOS"/>
        <s v="CNEL MANABÍ"/>
        <s v="CNEL MILAGRO"/>
        <s v="CNEL SUCUMBÍOS"/>
        <s v="CNEL ESMERALDAS"/>
        <s v="CNEL GUAYAQUIL"/>
      </sharedItems>
    </cacheField>
    <cacheField name="PROYECTO O DESCRIPCIÓN DE LOS TRABAJOS" numFmtId="0">
      <sharedItems longText="1"/>
    </cacheField>
    <cacheField name="LINEA DE SUBTRANSMISIÓN" numFmtId="0">
      <sharedItems containsBlank="1"/>
    </cacheField>
    <cacheField name="S/E" numFmtId="0">
      <sharedItems containsBlank="1"/>
    </cacheField>
    <cacheField name="ALIMENTADOR" numFmtId="0">
      <sharedItems containsBlank="1"/>
    </cacheField>
    <cacheField name="PROVINCIA" numFmtId="0">
      <sharedItems containsBlank="1"/>
    </cacheField>
    <cacheField name="CANTON" numFmtId="0">
      <sharedItems containsBlank="1"/>
    </cacheField>
    <cacheField name="CODIGO GIS" numFmtId="0">
      <sharedItems containsBlank="1"/>
    </cacheField>
    <cacheField name="Desconexiones Programadas" numFmtId="0">
      <sharedItems/>
    </cacheField>
    <cacheField name="MW (Desconectados)" numFmtId="0">
      <sharedItems containsSemiMixedTypes="0" containsString="0" containsNumber="1" minValue="0.05" maxValue="220"/>
    </cacheField>
    <cacheField name="Fecha de Inicio" numFmtId="164">
      <sharedItems containsSemiMixedTypes="0" containsNonDate="0" containsDate="1" containsString="0" minDate="2026-05-30T00:00:00" maxDate="2026-06-08T00:00:00"/>
    </cacheField>
    <cacheField name="Hora inicio" numFmtId="20">
      <sharedItems containsSemiMixedTypes="0" containsNonDate="0" containsDate="1" containsString="0" minDate="1899-12-30T00:00:00" maxDate="1899-12-30T15:30:00"/>
    </cacheField>
    <cacheField name="Fecha de Fin" numFmtId="164">
      <sharedItems containsSemiMixedTypes="0" containsNonDate="0" containsDate="1" containsString="0" minDate="2026-05-30T00:00:00" maxDate="2026-06-08T00:00:00"/>
    </cacheField>
    <cacheField name="Hora fin" numFmtId="20">
      <sharedItems containsSemiMixedTypes="0" containsNonDate="0" containsDate="1" containsString="0" minDate="1899-12-30T03:00:00" maxDate="1899-12-30T17:00:00"/>
    </cacheField>
    <cacheField name="$ Valoración de los trabajos (materiales + Mano de obra)" numFmtId="44">
      <sharedItems containsSemiMixedTypes="0" containsString="0" containsNumber="1" minValue="80" maxValue="290410.31"/>
    </cacheField>
    <cacheField name="Presupuesto requerido $" numFmtId="44">
      <sharedItems containsString="0" containsBlank="1" containsNumber="1" minValue="0" maxValue="22699.16"/>
    </cacheField>
    <cacheField name="Justificación del horario de ejecución" numFmtId="0">
      <sharedItems containsBlank="1"/>
    </cacheField>
    <cacheField name="ETAPA FUNCIONAL" numFmtId="0">
      <sharedItems/>
    </cacheField>
    <cacheField name="Clientes_x000a_Afectados" numFmtId="0">
      <sharedItems containsString="0" containsBlank="1" containsNumber="1" containsInteger="1" minValue="1" maxValue="96317"/>
    </cacheField>
    <cacheField name="Clientes Totales" numFmtId="0">
      <sharedItems containsString="0" containsBlank="1" containsNumber="1" containsInteger="1" minValue="1" maxValue="96317"/>
    </cacheField>
    <cacheField name="Energía kW-h (por desconexión)}" numFmtId="0">
      <sharedItems containsSemiMixedTypes="0" containsString="0" containsNumber="1" minValue="0" maxValue="660000"/>
    </cacheField>
    <cacheField name="USD energia (por desconexión)" numFmtId="165">
      <sharedItems containsSemiMixedTypes="0" containsString="0" containsNumber="1" minValue="0" maxValue="59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1">
  <r>
    <n v="1"/>
    <x v="0"/>
    <s v="CAMBIO DE TRANSFORMADOR PADMOUNTED DE SERVICIOS AUXILIARES / PRUEBAS ELÉCTRICAS DEL TRANSFORMADOR DE POTENCIA"/>
    <m/>
    <s v="03_03_ECHEANDIA"/>
    <m/>
    <s v="BOLIVAR"/>
    <s v="ECHEANDIA, LAS NAVES"/>
    <s v="03EC03"/>
    <s v="Trabajos Preventivos"/>
    <n v="2.1800000000000002"/>
    <d v="2026-05-30T00:00:00"/>
    <d v="1899-12-30T01:00:00"/>
    <d v="2026-05-30T00:00:00"/>
    <d v="1899-12-30T04:00:00"/>
    <n v="9758.66"/>
    <n v="0"/>
    <m/>
    <s v="SUBESTACIÓN"/>
    <n v="13592"/>
    <n v="13592"/>
    <n v="6540"/>
    <n v="588.6"/>
  </r>
  <r>
    <n v="2"/>
    <x v="0"/>
    <s v="CONSTRUCCION DE RED DE MEDIO VOLTAJE Y MONTAJE DE TRANSFORMADOR"/>
    <m/>
    <s v="03_03_ECHEANDIA"/>
    <s v="03_03_Echeandia 1"/>
    <s v="BOLIVAR"/>
    <s v="ECHEANDIA"/>
    <s v="03EC030T13"/>
    <s v="Ingreso nuevas cargas"/>
    <n v="0.19"/>
    <d v="2026-05-30T00:00:00"/>
    <d v="1899-12-30T01:00:00"/>
    <d v="2026-05-30T00:00:00"/>
    <d v="1899-12-30T04:00:00"/>
    <n v="14500"/>
    <n v="0"/>
    <m/>
    <s v="ALIMENTADOR"/>
    <m/>
    <m/>
    <n v="570"/>
    <n v="51.3"/>
  </r>
  <r>
    <n v="3"/>
    <x v="1"/>
    <s v="CAMBIO DE BARRAS 15KV EN TABLERO DE DISTRIBUCIÓN SUBTERRÁNEO"/>
    <m/>
    <m/>
    <s v="EL SOL"/>
    <s v="EL ORO"/>
    <s v="MACHALA"/>
    <s v="07MA040T15"/>
    <s v="Trabajos Correctivos"/>
    <n v="2"/>
    <d v="2026-05-30T00:00:00"/>
    <d v="1899-12-30T03:00:00"/>
    <d v="2026-05-30T00:00:00"/>
    <d v="1899-12-30T06:00:00"/>
    <n v="1700"/>
    <n v="0"/>
    <s v="Zona urbana- residencial"/>
    <s v="ALIMENTADOR"/>
    <n v="1882"/>
    <n v="1882"/>
    <n v="6000"/>
    <n v="540"/>
  </r>
  <r>
    <n v="4"/>
    <x v="1"/>
    <s v="CONEXIÓN DE EQUIPOS PARA NUEVO ALIMENTADOR DE MEDIA TENSIÓN"/>
    <m/>
    <s v="BALAO"/>
    <m/>
    <s v="GUAYAS"/>
    <s v="BALAO"/>
    <s v="07BL13"/>
    <s v="Ingreso nuevas cargas"/>
    <n v="11"/>
    <d v="2026-05-30T00:00:00"/>
    <d v="1899-12-30T03:00:00"/>
    <d v="2026-05-30T00:00:00"/>
    <d v="1899-12-30T06:00:00"/>
    <n v="6990.81"/>
    <n v="0"/>
    <s v="Horario de menor impacto en la demanda"/>
    <s v="SUBESTACIÓN"/>
    <n v="14991"/>
    <n v="14991"/>
    <n v="33000"/>
    <n v="2970"/>
  </r>
  <r>
    <n v="5"/>
    <x v="1"/>
    <s v="MNTTO EN ALIMENTADOR PRIMARIO (CAMBIO DE POSTES Y ESTRUCTURAS, LIMPIEZA DE VEGETACIÓN)"/>
    <m/>
    <m/>
    <s v="CETEORO"/>
    <s v="EL ORO"/>
    <s v="MACHALA"/>
    <s v="07PI060T14"/>
    <s v="Trabajos Preventivos"/>
    <n v="2.5"/>
    <d v="2026-05-30T00:00:00"/>
    <d v="1899-12-30T03:00:00"/>
    <d v="2026-05-30T00:00:00"/>
    <d v="1899-12-30T06:00:00"/>
    <n v="2444.7600000000002"/>
    <n v="0"/>
    <s v="Zona urbana- residencial"/>
    <s v="ALIMENTADOR"/>
    <n v="639"/>
    <n v="639"/>
    <n v="7500"/>
    <n v="675"/>
  </r>
  <r>
    <n v="6"/>
    <x v="1"/>
    <s v="MNTTO EN ALIMENTADOR PRIMARIO (MANTENIMIENTO A GABINETES DE DISTRIBUCIÓN) - CAMBIO DE SECCIONADORES EN TRANSICIÓN"/>
    <m/>
    <m/>
    <s v="ARÍZAGA"/>
    <s v="EL ORO"/>
    <s v="MACHALA"/>
    <s v="07MC080T13"/>
    <s v="Trabajos Preventivos"/>
    <n v="2.2999999999999998"/>
    <d v="2026-05-30T00:00:00"/>
    <d v="1899-12-30T03:00:00"/>
    <d v="2026-05-30T00:00:00"/>
    <d v="1899-12-30T06:00:00"/>
    <n v="1001.35"/>
    <n v="0"/>
    <s v="Zona urbana- residencial"/>
    <s v="ALIMENTADOR"/>
    <n v="3229"/>
    <n v="3229"/>
    <n v="6900"/>
    <n v="621"/>
  </r>
  <r>
    <n v="7"/>
    <x v="1"/>
    <s v="MNTTO EN ALIMENTADOR PRIMARIO (MANTENIMIENTO A GABINETES DE DISTRIBUCIÓN) - INSTALACIÓN DE CUCHILLAS EN TRANSICIÓN"/>
    <m/>
    <m/>
    <s v="FYBECA"/>
    <s v="EL ORO"/>
    <s v="MACHALA"/>
    <s v="07MC080T13"/>
    <s v="Trabajos Preventivos"/>
    <n v="3"/>
    <d v="2026-05-30T00:00:00"/>
    <d v="1899-12-30T03:00:00"/>
    <d v="2026-05-30T00:00:00"/>
    <d v="1899-12-30T06:00:00"/>
    <n v="4869.34"/>
    <n v="0"/>
    <s v="Zona urbana- residencial"/>
    <s v="ALIMENTADOR"/>
    <n v="3229"/>
    <n v="3229"/>
    <n v="9000"/>
    <n v="810"/>
  </r>
  <r>
    <n v="8"/>
    <x v="2"/>
    <s v="CONEXIÓN DE ACOMETIDAS DE 69 KV PARA ENERGIZACIÓN EN VACÍO DEL TRANSFORMADOR EN PEDRO CARBO DE NUEVO TRANSFORMADOR DE POTENCIA, PARA LIBERAR SUBESTACIÓN MÓVIL"/>
    <m/>
    <s v="PEDRO CARBO"/>
    <m/>
    <s v="GUAYAS"/>
    <s v="Pedro Carbo"/>
    <s v="09PC09"/>
    <s v="Trabajos Correctivos"/>
    <n v="7.5"/>
    <d v="2026-05-31T00:00:00"/>
    <d v="1899-12-30T04:00:00"/>
    <d v="2026-05-31T00:00:00"/>
    <d v="1899-12-30T06:00:00"/>
    <n v="2800"/>
    <n v="0"/>
    <s v="MENOR IMPACTO EN MADRUGADA"/>
    <s v="SUBESTACIÓN"/>
    <n v="13353"/>
    <n v="13353"/>
    <n v="15000"/>
    <n v="1350"/>
  </r>
  <r>
    <n v="9"/>
    <x v="2"/>
    <s v="- CAMBIO DE TOPOLOGÍA LT1, LT2_x000a_ - INGRESO A BAHÍA LT1 CON NUEVA LÍNEA_x000a_ - TENDIDO DE GUARDA HACIA S/E CATALUÑA_x000a_ - DESMONTAJE DE SECCIONADOR EXISTENTE LT1_x000a_ - READECUACIÓN PARA CAMBIO EN LA CONEXIÓN A S/E MÓVIL CELEC_x000a_ - SECCIONAMENTO DE LÍNEA EXISTENTE DAULE-JB AGUIRRE"/>
    <s v="DESCONEXIÓN DE LAS LÍNEAS LT1, LT2, LT3, LT4, LT5, MOVIL DE LA SUBESTACIÓN DOS CERRITOS SNT."/>
    <m/>
    <m/>
    <s v="GUAYAS"/>
    <s v="Daule, Salitre, Palestina, Balzar, Colimes, Santa Lucía, Samborondón"/>
    <s v="LST"/>
    <s v="Ingreso nuevas cargas"/>
    <n v="113"/>
    <d v="2026-05-30T00:00:00"/>
    <d v="1899-12-30T03:00:00"/>
    <d v="2026-05-30T00:00:00"/>
    <d v="1899-12-30T06:00:00"/>
    <n v="70000"/>
    <m/>
    <s v="MENOR IMPACTO EN MADRUGADA"/>
    <s v="LST"/>
    <n v="96317"/>
    <n v="96317"/>
    <n v="339000"/>
    <n v="30510"/>
  </r>
  <r>
    <n v="10"/>
    <x v="2"/>
    <s v="INTERCONEXION DE LA NUEVA LINEA DE SUBTRANSMISION BUENA FE PRONACA"/>
    <s v="BUENA FE - PRONACA"/>
    <s v="BUENA FE"/>
    <m/>
    <s v="Los Ríos"/>
    <s v="Buena Fe"/>
    <s v="LST"/>
    <s v="Ingreso nuevas cargas"/>
    <n v="11.13"/>
    <d v="2026-05-30T00:00:00"/>
    <d v="1899-12-30T03:00:00"/>
    <d v="2026-05-30T00:00:00"/>
    <d v="1899-12-30T06:00:00"/>
    <n v="3500"/>
    <m/>
    <s v="PARA REALIZAR LOS TRABAJOS SE REQUIERE LA LUZ DEL DÍA DEBIDO A QUE NO SE CUENTA CON SUFICIENTE ILUMINACION PARA REALIZAR LOS TRABAJOS EN REDES DE ALTA TENSIÓN"/>
    <s v="LST"/>
    <n v="16442"/>
    <n v="16442"/>
    <n v="33390"/>
    <n v="3005.1"/>
  </r>
  <r>
    <n v="11"/>
    <x v="2"/>
    <s v="'- CAMBIO DE TOPOLOGÍA LT5_x000a_- COMPLETAR INGRESO A BAHÍA LT1 CON NUEVA LÍNEA_x000a_- PUESTA EN OPERACIÓN NUEVO SECCIONADOR LT1_x000a_- SECCIONAMENTO DE LÍNEA EXISTENTE DAULE-JB AGUIRRE_x000a_- ENERGIZACIÓN DE NUEVA LT1 Y TOMA DE CARGA"/>
    <s v="DESCONEXIÓN DE LA LÍNEA LT5 DE LA SUBESTACIÓN DOS CERRITOS SNT."/>
    <m/>
    <m/>
    <s v="GUAYAS"/>
    <s v="Daule, Salitre, Palestina, Balzar, Colimes, Santa Lucía"/>
    <s v="LST"/>
    <s v="Ingreso nuevas cargas"/>
    <n v="45"/>
    <d v="2026-05-31T00:00:00"/>
    <d v="1899-12-30T03:00:00"/>
    <d v="2026-05-31T00:00:00"/>
    <d v="1899-12-30T06:00:00"/>
    <n v="8000"/>
    <m/>
    <s v="MENOR IMPACTO EN MADRUGADA"/>
    <s v="LST"/>
    <n v="55764"/>
    <n v="55764"/>
    <n v="135000"/>
    <n v="12150"/>
  </r>
  <r>
    <n v="12"/>
    <x v="2"/>
    <s v="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
    <m/>
    <s v="EL RECREO"/>
    <m/>
    <s v="GUAYAS"/>
    <s v="Durán"/>
    <s v="09ER21"/>
    <s v="Trabajos Correctivos"/>
    <n v="25.49"/>
    <d v="2026-05-31T00:00:00"/>
    <d v="1899-12-30T03:00:00"/>
    <d v="2026-05-31T00:00:00"/>
    <d v="1899-12-30T06:00:00"/>
    <n v="6500"/>
    <m/>
    <s v="MENOR IMPACTO EN MADRUGADA"/>
    <s v="SUBESTACIÓN"/>
    <n v="24491"/>
    <n v="24491"/>
    <n v="76470"/>
    <n v="6882.3"/>
  </r>
  <r>
    <n v="13"/>
    <x v="2"/>
    <s v="REEMPLAZO DE SECCIONADORES TRIPOLARES DE POSICIÓN DE BARRA, BARRA DE TRANSFERENCIA Y ACOPLE DE POSICIÓN PASCULAES MANGLERO"/>
    <s v="MANGLERO"/>
    <m/>
    <m/>
    <s v="GUAYAS"/>
    <s v="Samborondón"/>
    <m/>
    <s v="Trabajos Correctivos"/>
    <n v="31"/>
    <d v="2026-05-31T00:00:00"/>
    <d v="1899-12-30T01:00:00"/>
    <d v="2026-05-31T00:00:00"/>
    <d v="1899-12-30T11:00:00"/>
    <n v="63000"/>
    <m/>
    <s v="POR DESCONEXIÓN DE SUBESTACIÓN PASCUALES DE TRANSELECTRIC"/>
    <s v="LST"/>
    <n v="33268"/>
    <n v="33268"/>
    <n v="310000"/>
    <n v="27900"/>
  </r>
  <r>
    <n v="14"/>
    <x v="2"/>
    <s v="APLOME DE POSTES EN LA LLEGADA A LA SUBESTACION DAULE SUR - POSTE DONDE SE TIENE UBICADO EL SECCIONAMIENTO DE INTERCONEXION ENTRE LST DAULE Y TAP BANIFE"/>
    <s v="TAP KUBIEC Y TAP BANIFE"/>
    <m/>
    <m/>
    <s v="GUAYAS"/>
    <s v="Daule"/>
    <m/>
    <s v="Trabajos Correctivos"/>
    <n v="43"/>
    <d v="2026-05-31T00:00:00"/>
    <d v="1899-12-30T01:00:00"/>
    <d v="2026-05-31T00:00:00"/>
    <d v="1899-12-30T11:00:00"/>
    <n v="2100"/>
    <m/>
    <s v="POR DESCONEXIÓN DE SUBESTACIÓN PASCUALES DE TRANSELECTRIC"/>
    <s v="LST"/>
    <n v="83738"/>
    <n v="83738"/>
    <n v="430000"/>
    <n v="38700"/>
  </r>
  <r>
    <n v="15"/>
    <x v="2"/>
    <s v="CAMBIO DE POSTES EN MAL ESTADO "/>
    <m/>
    <m/>
    <s v="Isidro Ayora"/>
    <s v="GUAYAS"/>
    <s v="Daule"/>
    <m/>
    <s v="Trabajos Preventivos"/>
    <n v="2.2999999999999998"/>
    <d v="2026-05-31T00:00:00"/>
    <d v="1899-12-30T01:00:00"/>
    <d v="2026-05-31T00:00:00"/>
    <d v="1899-12-30T11:00:00"/>
    <n v="1100"/>
    <m/>
    <s v="POR DESCONEXIÓN DE SUBESTACIÓN PASCUALES DE TRANSELECTRIC"/>
    <s v="LST"/>
    <n v="2617"/>
    <n v="2617"/>
    <n v="23000"/>
    <n v="2070"/>
  </r>
  <r>
    <n v="16"/>
    <x v="2"/>
    <s v="REEMPLAZO DE SECCIONADORES DE 69 KV EN POSICIÓN MANGLERO DE SUBESTACIÓN PASCUALES CELEC EP"/>
    <s v="LST PASCUALES MANGLERO"/>
    <m/>
    <m/>
    <m/>
    <m/>
    <s v="LST PASCUALES MANGLERO"/>
    <s v="Trabajos Correctivos"/>
    <n v="65"/>
    <d v="2026-05-31T00:00:00"/>
    <d v="1899-12-30T01:00:00"/>
    <d v="2026-05-31T00:00:00"/>
    <d v="1899-12-30T11:00:00"/>
    <n v="57434"/>
    <n v="0"/>
    <s v="TRABAJOS PARA APROVECHAR DESCONEXIÓN DE SE PASCUALES CELEC EP"/>
    <s v="LST"/>
    <n v="29832"/>
    <n v="11667"/>
    <n v="123000"/>
    <n v="11070"/>
  </r>
  <r>
    <n v="17"/>
    <x v="3"/>
    <s v="CAMBIO DE CONDUCTOR AISLADO SOTERRADO EN LAS SALIDAS DE LOS ALIMENTADORES VINCES CENTRO, VINCES SUR Y ANTONIO SOTOMAYOR, POR DESGASTE EN EL AISLAMIENTO DE LOS CONDUCTORES."/>
    <m/>
    <s v="VINCES"/>
    <m/>
    <s v="LOS RIOS"/>
    <s v="VINCES, BABA"/>
    <s v="10VI08"/>
    <s v="Trabajos Correctivos"/>
    <n v="9.5"/>
    <d v="2026-05-30T00:00:00"/>
    <d v="1899-12-30T03:00:00"/>
    <d v="2026-05-30T00:00:00"/>
    <d v="1899-12-30T07:00:00"/>
    <n v="24162.48"/>
    <n v="0"/>
    <s v="SE PLANTEA EL HORARIO MOSTRADO DEBIDO AL TOQUE DE QUEDA QUE CULMINA 05H00 Y LA SE VINCES ESTA A 45 MINUTOS DE DISTANCIA DE DONDE SALE EL PERSONAL Y EL TRASLADO HACIA LA SE EN HORAS DE LA MADRUGADA ES ALTAMENTE PELIGROSO"/>
    <s v="SUBESTACIÓN"/>
    <n v="21407"/>
    <n v="21407"/>
    <n v="38000"/>
    <n v="3420"/>
  </r>
  <r>
    <n v="18"/>
    <x v="3"/>
    <s v="CORRECCIÓN DE PUNTOS CALIENTES EN BUSHINGS DEL TRANSFORMADOR DE POTENCIA Y EN SECCIONAMIENTOS A NIVEL DE 13,8KV"/>
    <m/>
    <s v="CEDEGE"/>
    <m/>
    <s v="LOS RIOS"/>
    <s v="BABAHOYO, MONTALVO"/>
    <s v="10CE03"/>
    <s v="Trabajos Correctivos"/>
    <n v="6.5"/>
    <d v="2026-05-31T00:00:00"/>
    <d v="1899-12-30T03:00:00"/>
    <d v="2026-05-31T00:00:00"/>
    <d v="1899-12-30T06:00:00"/>
    <n v="5445.85"/>
    <n v="0"/>
    <s v="SE PLANTEA EL HORARIO MOSTRADO DEBIDO AL TOQUE DE QUEDA QUE CULMINA 05H00 Y LA SE CEDEGE ESTA A 25 MINUTOS DE DISTANCIA DE DONDE SALE EL PERSONAL Y EL TRASLADO HACIA LA SE EN HORAS DE LA MADRUGADA ES ALTAMENTE PELIGROSO"/>
    <s v="SUBESTACIÓN"/>
    <n v="21995"/>
    <n v="21995"/>
    <n v="19500"/>
    <n v="1755"/>
  </r>
  <r>
    <n v="19"/>
    <x v="4"/>
    <s v="Cambio de aisladores, desbroce, reubicacion de postes"/>
    <s v="ROCAFUERTE - CRUCITA"/>
    <m/>
    <m/>
    <s v="MANABI"/>
    <s v="PORTOVIEJO"/>
    <s v="LST"/>
    <s v="Trabajos Preventivos"/>
    <n v="17.145"/>
    <d v="2026-05-30T00:00:00"/>
    <d v="1899-12-30T06:00:00"/>
    <d v="2026-05-30T00:00:00"/>
    <d v="1899-12-30T09:00:00"/>
    <n v="9886"/>
    <n v="0"/>
    <s v="Trabajos seran realizados en zona montañosa y de dificil acceso, por esta razon se requiere tener visibilidad en lostrabajos e ingreso a los puntos"/>
    <s v="LST"/>
    <n v="17145"/>
    <n v="17145"/>
    <n v="51435"/>
    <n v="4629.1499999999996"/>
  </r>
  <r>
    <n v="20"/>
    <x v="4"/>
    <s v="CORRECCION DE PUNTO CALIENTE Y CAMBIO DE SECCIONADOR BY PASS, 13.8 KV SE T3 PORTOVIEJO 1"/>
    <m/>
    <s v="PORTOVIEJO 1 - T3"/>
    <s v="No 05; 08; 10"/>
    <s v="MANABI"/>
    <s v="PORTOVIEJO"/>
    <s v="11P109"/>
    <s v="Trabajos Preventivos"/>
    <n v="10"/>
    <d v="2026-05-31T00:00:00"/>
    <d v="1899-12-30T03:00:00"/>
    <d v="2026-05-31T00:00:00"/>
    <d v="1899-12-30T06:00:00"/>
    <n v="4480"/>
    <n v="0"/>
    <s v="Horario de menora afectación"/>
    <s v="SUBESTACIÓN"/>
    <n v="8819"/>
    <n v="8819"/>
    <n v="0"/>
    <n v="0"/>
  </r>
  <r>
    <n v="21"/>
    <x v="5"/>
    <s v="ANOMALÍAS TÉRMICAS EN EL RECONECTADOR DE CABECERA VILLANUEVA 2, DISYUNTOR LLEGADA PUERTO INCA, SALIDA BALAO 4, DESBROCE VEGETACIÓN A NIVEL DE DISTRIBUCIÓN 13,8kV"/>
    <m/>
    <s v="NARANJAL"/>
    <m/>
    <s v="GUAYAS"/>
    <s v="NARANJAL"/>
    <s v="12NA09"/>
    <s v="Trabajos Correctivos"/>
    <n v="8"/>
    <d v="2026-05-31T00:00:00"/>
    <d v="1899-12-30T02:00:00"/>
    <d v="2026-05-31T00:00:00"/>
    <d v="1899-12-30T05:00:00"/>
    <n v="4195.24"/>
    <n v="0"/>
    <s v="SECTORES RURALES ALEJADOS DE LA CIUDAD,ZONA PELIGROSA"/>
    <s v="SUBESTACIÓN"/>
    <n v="9042"/>
    <n v="9042"/>
    <n v="24000"/>
    <n v="2160"/>
  </r>
  <r>
    <n v="22"/>
    <x v="5"/>
    <s v="ANOMALÍAS TÉRMICAS EN ENTRADA AL SECCIONADOR DE BARRA FASE C Y EN SALIDA DEL SECCIONADOR DE BARRA FASE A"/>
    <m/>
    <s v="MILAGRO SUR"/>
    <m/>
    <s v="GUAYAS"/>
    <s v="MILAGRO"/>
    <s v="12MS13"/>
    <s v="Trabajos Correctivos"/>
    <n v="3"/>
    <d v="2026-05-30T00:00:00"/>
    <d v="1899-12-30T02:00:00"/>
    <d v="2026-05-30T00:00:00"/>
    <d v="1899-12-30T05:00:00"/>
    <n v="692.48"/>
    <n v="0"/>
    <m/>
    <s v="SUBESTACIÓN"/>
    <n v="7065"/>
    <n v="7065"/>
    <n v="9000"/>
    <n v="810"/>
  </r>
  <r>
    <n v="23"/>
    <x v="5"/>
    <s v="ANOMALÍAS TÉRMICAS EN RECONECTADOR DE BARRAS, CT´S DE BARRAS, CAMBIO DE CONFIGURACIÓN DE ESTRUCTURAS EN POSTES ALEJADOS DE LA CARRETERA"/>
    <m/>
    <s v="CHOBO"/>
    <m/>
    <s v="GUAYAS"/>
    <s v="MILAGRO"/>
    <s v="12CH16"/>
    <s v="Trabajos Correctivos"/>
    <n v="2.5"/>
    <d v="2026-05-30T00:00:00"/>
    <d v="1899-12-30T02:00:00"/>
    <d v="2026-05-30T00:00:00"/>
    <d v="1899-12-30T05:00:00"/>
    <n v="3045.24"/>
    <n v="0"/>
    <s v="SECTORES RURALES ALEJADOS DE LA CIUDAD, ZONA PELIGROSA"/>
    <s v="SUBESTACIÓN"/>
    <n v="217"/>
    <n v="217"/>
    <n v="7500"/>
    <n v="675"/>
  </r>
  <r>
    <n v="24"/>
    <x v="6"/>
    <s v="CAMBIO DE CADENA DE AISLADORES EN FASE MEDIA, ESTRUCTURA N.º 102: POSTE DE HORMIGÓN EN SUSPENSIÓN"/>
    <s v="JIVINO - SACHA"/>
    <m/>
    <m/>
    <s v="Orellana"/>
    <s v="Joya de los Sachas"/>
    <s v="LST"/>
    <s v="Trabajos Preventivos"/>
    <n v="6.03"/>
    <d v="2026-05-30T00:00:00"/>
    <d v="1899-12-30T03:00:00"/>
    <d v="2026-05-30T00:00:00"/>
    <d v="1899-12-30T06:00:00"/>
    <n v="600"/>
    <n v="0"/>
    <s v="TRANSFERENCIA DE CARGA, AL CULMINAR LOS TRABAJOS SE DESCONECTA TODA LA CARGA POR 5 MIN APROXIMADAMENTE"/>
    <s v="LST"/>
    <n v="15946"/>
    <n v="15946"/>
    <n v="18090"/>
    <n v="1628.1"/>
  </r>
  <r>
    <n v="25"/>
    <x v="6"/>
    <s v="CAMBIO DE POSTE DE HORMIGÓN EN MAL ESTADO DE 12 METROS"/>
    <m/>
    <m/>
    <s v="VIA JIVINO"/>
    <s v="Sucumbíos"/>
    <s v="Lago Agrio"/>
    <s v="20LG010T14"/>
    <s v="Trabajos Correctivos"/>
    <n v="2.19"/>
    <d v="2026-05-30T00:00:00"/>
    <d v="1899-12-30T03:00:00"/>
    <d v="2026-05-30T00:00:00"/>
    <d v="1899-12-30T06:00:00"/>
    <n v="900"/>
    <n v="0"/>
    <m/>
    <s v="ALIMENTADOR"/>
    <n v="5862"/>
    <n v="5862"/>
    <n v="6570"/>
    <n v="591.29999999999995"/>
  </r>
  <r>
    <n v="26"/>
    <x v="0"/>
    <s v="CORRECCIÓN DE PUNTO CALIENTE EN BARRAS DE 69 KV"/>
    <m/>
    <s v="03_04_COCHABAMBA"/>
    <m/>
    <s v="BOLIVAR"/>
    <s v="SAN MIGUEL, CHILLANES"/>
    <s v="03CO04"/>
    <s v="Trabajos Correctivos"/>
    <n v="1.22"/>
    <d v="2026-06-06T00:00:00"/>
    <d v="1899-12-30T03:00:00"/>
    <d v="2026-06-06T00:00:00"/>
    <d v="1899-12-30T06:00:00"/>
    <n v="400"/>
    <n v="0"/>
    <m/>
    <s v="SUBESTACIÓN"/>
    <n v="10655"/>
    <n v="10655"/>
    <n v="3660"/>
    <n v="329.4"/>
  </r>
  <r>
    <n v="27"/>
    <x v="1"/>
    <s v="MNTTO EN ALIMENTADOR PRIMARIO (CAMBIO DE POSTES Y ESTRUCTURAS, LIMPIEZA DE VEGETACIÓN)"/>
    <m/>
    <m/>
    <s v="ATAHUALPA"/>
    <s v="EL ORO"/>
    <s v="ATAHUALPA"/>
    <s v="07PO100T25"/>
    <s v="Trabajos Preventivos"/>
    <n v="4"/>
    <d v="2026-06-06T00:00:00"/>
    <d v="1899-12-30T07:00:00"/>
    <d v="2026-06-06T00:00:00"/>
    <d v="1899-12-30T10:00:00"/>
    <n v="9172.9500000000007"/>
    <n v="0"/>
    <s v="Zona alta de la provincia, en la madrugada se presentan condiciones climáticas adversas, se considera el tiempo de traslada hacia los sitios de trabajo"/>
    <s v="ALIMENTADOR"/>
    <n v="3429"/>
    <n v="3429"/>
    <n v="12000"/>
    <n v="1080"/>
  </r>
  <r>
    <n v="28"/>
    <x v="1"/>
    <s v="MNTTO EN ALIMENTADOR PRIMARIO (CAMBIO DE POSTES Y ESTRUCTURAS, LIMPIEZA DE VEGETACIÓN)"/>
    <m/>
    <m/>
    <s v="CORDÓN FRONTERIZO"/>
    <s v="EL ORO"/>
    <s v="ARENILLAS"/>
    <s v="07AR090T13"/>
    <s v="Trabajos Preventivos"/>
    <n v="1.8"/>
    <d v="2026-06-06T00:00:00"/>
    <d v="1899-12-30T07:00:00"/>
    <d v="2026-06-06T00:00:00"/>
    <d v="1899-12-30T10:00:00"/>
    <n v="7282.12"/>
    <n v="0"/>
    <s v="En la madrugada se presentan condiciones climáticas adversas, se considera el tiempo de traslada hacia los sitios de trabajo"/>
    <s v="ALIMENTADOR"/>
    <n v="5556"/>
    <n v="5556"/>
    <n v="5400"/>
    <n v="486"/>
  </r>
  <r>
    <n v="29"/>
    <x v="1"/>
    <s v="MNTTO EN ALIMENTADOR PRIMARIO (CAMBIO DE POSTES Y ESTRUCTURAS, LIMPIEZA DE VEGETACIÓN)"/>
    <m/>
    <m/>
    <s v="BARBONES TENDALES"/>
    <s v="EL ORO"/>
    <s v="EL GUABO"/>
    <s v="07BA020T11"/>
    <s v="Trabajos Preventivos"/>
    <n v="2"/>
    <d v="2026-06-07T00:00:00"/>
    <d v="1899-12-30T07:00:00"/>
    <d v="2026-06-07T00:00:00"/>
    <d v="1899-12-30T10:00:00"/>
    <n v="6002.05"/>
    <n v="0"/>
    <s v="Sector con alto nivel de inseguridad, se considera el tiempo de traslada hacia los sitios de trabajo"/>
    <s v="ALIMENTADOR"/>
    <n v="3353"/>
    <n v="3353"/>
    <n v="6000"/>
    <n v="540"/>
  </r>
  <r>
    <n v="30"/>
    <x v="1"/>
    <s v="MNTTO EN ALIMENTADOR PRIMARIO (RECONFIGURACIÓN DE LINEA DE MV, CAMBIO DE ESTRUCTURAS)"/>
    <m/>
    <m/>
    <s v="ZARUMA"/>
    <s v="EL ORO"/>
    <s v="ZARUMA"/>
    <s v="07PO100T11"/>
    <s v="Trabajos Preventivos"/>
    <n v="4.5"/>
    <d v="2026-06-07T00:00:00"/>
    <d v="1899-12-30T07:00:00"/>
    <d v="2026-06-07T00:00:00"/>
    <d v="1899-12-30T10:00:00"/>
    <n v="10344.65"/>
    <n v="0"/>
    <s v="Zona alta de la provincia, en la madrugada se presentan condiciones climáticas adversas, se considera el tiempo de traslada hacia los sitios de trabajo"/>
    <s v="ALIMENTADOR"/>
    <n v="2335"/>
    <n v="2335"/>
    <n v="13500"/>
    <n v="1215"/>
  </r>
  <r>
    <n v="31"/>
    <x v="1"/>
    <s v="MANTENIMIENTO PROGRAMADO POR EL TRANSMISOR EN LA L/T MACHALA - LA AVANZADA 230 kV C1"/>
    <m/>
    <s v="LA AVANZADA"/>
    <m/>
    <s v="EL ORO"/>
    <s v="SANTA ROSA"/>
    <s v="07AV05"/>
    <s v="Trabajos Preventivos"/>
    <n v="2"/>
    <d v="2026-06-06T00:00:00"/>
    <d v="1899-12-30T06:00:00"/>
    <d v="2026-06-06T00:00:00"/>
    <d v="1899-12-30T10:00:00"/>
    <n v="1830.76"/>
    <n v="0"/>
    <s v="Horario definido por el Transmisior y aceptado por el Cenace"/>
    <s v="SUBESTACIÓN"/>
    <n v="4763"/>
    <n v="4763"/>
    <n v="8000"/>
    <n v="720"/>
  </r>
  <r>
    <n v="32"/>
    <x v="1"/>
    <s v="MANTENIMIENTO PROGRAMADO POR EL TRANSMISOR EN LA L/T MACHALA - LA AVANZADA 230 kV C1"/>
    <m/>
    <s v="SANTA ROSA"/>
    <m/>
    <s v="EL ORO"/>
    <s v="SANTA ROSA"/>
    <s v="07SR07"/>
    <s v="Trabajos Preventivos"/>
    <n v="14"/>
    <d v="2026-06-06T00:00:00"/>
    <d v="1899-12-30T06:00:00"/>
    <d v="2026-06-06T00:00:00"/>
    <d v="1899-12-30T10:00:00"/>
    <n v="1830.76"/>
    <n v="0"/>
    <s v="Horario definido por el Transmisior y aceptado por el Cenace"/>
    <s v="SUBESTACIÓN"/>
    <n v="23387"/>
    <n v="23387"/>
    <n v="56000"/>
    <n v="5040"/>
  </r>
  <r>
    <n v="33"/>
    <x v="1"/>
    <s v="MANTENIMIENTO PROGRAMADO POR EL TRANSMISOR EN LA L/T MACHALA - LA AVANZADA 230 kV C1"/>
    <m/>
    <s v="ARENILLAS"/>
    <m/>
    <s v="EL ORO"/>
    <s v="ARENILLAS_x000a_LAS LAJAS"/>
    <s v="07AR09"/>
    <s v="Trabajos Preventivos"/>
    <n v="14"/>
    <d v="2026-06-06T00:00:00"/>
    <d v="1899-12-30T06:00:00"/>
    <d v="2026-06-06T00:00:00"/>
    <d v="1899-12-30T10:00:00"/>
    <n v="1830.76"/>
    <n v="0"/>
    <s v="Horario definido por el Transmisior y aceptado por el Cenace"/>
    <s v="SUBESTACIÓN"/>
    <n v="14799"/>
    <n v="14799"/>
    <n v="56000"/>
    <n v="5040"/>
  </r>
  <r>
    <n v="34"/>
    <x v="1"/>
    <s v="MANTENIMIENTO PROGRAMADO POR EL TRANSMISOR EN LA L/T MACHALA - LA AVANZADA 230 kV C1"/>
    <m/>
    <s v="HUAQUILLAS"/>
    <m/>
    <s v="EL ORO"/>
    <s v="HUAQUILLAS"/>
    <s v="07HU11"/>
    <s v="Trabajos Preventivos"/>
    <n v="14"/>
    <d v="2026-06-06T00:00:00"/>
    <d v="1899-12-30T06:00:00"/>
    <d v="2026-06-06T00:00:00"/>
    <d v="1899-12-30T10:00:00"/>
    <n v="1830.76"/>
    <n v="0"/>
    <s v="Horario definido por el Transmisior y aceptado por el Cenace"/>
    <s v="SUBESTACIÓN"/>
    <n v="18838"/>
    <n v="18838"/>
    <n v="56000"/>
    <n v="5040"/>
  </r>
  <r>
    <n v="35"/>
    <x v="1"/>
    <s v="MANTENIMIENTO PROGRAMADO POR EL TRANSMISOR EN LA L/T MACHALA - LA AVANZADA 230 kV C1"/>
    <m/>
    <s v="SARACAY"/>
    <m/>
    <s v="EL ORO"/>
    <s v="BALSAS_x000a_MARCABELÍ"/>
    <s v="07SA14"/>
    <s v="Trabajos Preventivos"/>
    <n v="3"/>
    <d v="2026-06-06T00:00:00"/>
    <d v="1899-12-30T06:00:00"/>
    <d v="2026-06-06T00:00:00"/>
    <d v="1899-12-30T10:00:00"/>
    <n v="1830.76"/>
    <n v="0"/>
    <s v="Horario definido por el Transmisior y aceptado por el Cenace"/>
    <s v="SUBESTACIÓN"/>
    <n v="9605"/>
    <n v="9605"/>
    <n v="12000"/>
    <n v="1080"/>
  </r>
  <r>
    <n v="36"/>
    <x v="1"/>
    <s v="MANTENIMIENTO PROGRAMADO POR EL TRANSMISOR EN LA L/T MACHALA - LA AVANZADA 230 kV C1"/>
    <m/>
    <s v="PORTOVELO"/>
    <m/>
    <s v="EL ORO"/>
    <s v="PIÑAS_x000a_ATAHUALPA_x000a_ZARUMA_x000a_PORTOVELO"/>
    <s v="07PO10"/>
    <s v="Trabajos Preventivos"/>
    <n v="25"/>
    <d v="2026-06-06T00:00:00"/>
    <d v="1899-12-30T06:00:00"/>
    <d v="2026-06-06T00:00:00"/>
    <d v="1899-12-30T10:00:00"/>
    <n v="1830.76"/>
    <n v="0"/>
    <s v="Horario definido por el Transmisior y aceptado por el Cenace"/>
    <s v="SUBESTACIÓN"/>
    <n v="29362"/>
    <n v="29362"/>
    <n v="100000"/>
    <n v="9000"/>
  </r>
  <r>
    <n v="37"/>
    <x v="7"/>
    <s v="TRABAJO CONTRTADO MANTENIMIENTO DE TRANSFORMADOR DE POTENCIA EN FRÍO (pruebas electricas, ajuste de terminales, pernos conexiones, pintura etc.) Subestación Viche"/>
    <m/>
    <s v="VICHE"/>
    <m/>
    <s v="ESMERALDAS"/>
    <s v="QUININDE"/>
    <s v="08VI15"/>
    <s v="Trabajos Preventivos"/>
    <n v="2.54"/>
    <d v="2026-06-06T00:00:00"/>
    <d v="1899-12-30T03:00:00"/>
    <d v="2026-06-06T00:00:00"/>
    <d v="1899-12-30T06:00:00"/>
    <n v="18426.349999999999"/>
    <n v="0"/>
    <s v="HORARIO DE MENOR IMPACTO HACIA LOS USUARIOS POR DESLASTRE DE CARGA EN DEMANDA MINIMA"/>
    <s v="SUBESTACIÓN"/>
    <n v="5442"/>
    <n v="5442"/>
    <n v="7620"/>
    <n v="685.8"/>
  </r>
  <r>
    <n v="38"/>
    <x v="7"/>
    <s v="TRABAJOS DE MANTENIMIENTO PROGRAMADO LST PRADERA - ATACAMES, TRABAJOS DESBROCE DE VEGETACION Y TALA DE ARBOLES CERCANOS A LA RED"/>
    <s v="PRADERA - ATACAMES"/>
    <m/>
    <m/>
    <s v="ESMERALDAS"/>
    <s v="ATACAMES"/>
    <s v="LST"/>
    <s v="Trabajos Preventivos"/>
    <n v="19.850000000000001"/>
    <d v="2026-06-07T00:00:00"/>
    <d v="1899-12-30T03:00:00"/>
    <d v="2026-06-07T00:00:00"/>
    <d v="1899-12-30T06:00:00"/>
    <n v="4000"/>
    <n v="0"/>
    <s v="HORARIO DE MENOR IMPACTO HACIA LOS USUARIOS POR DESLASTRE DE CARGA EN DEMANDA MINIMA"/>
    <s v="LST"/>
    <n v="26127"/>
    <n v="26127"/>
    <n v="59550"/>
    <n v="5359.5"/>
  </r>
  <r>
    <n v="39"/>
    <x v="2"/>
    <s v="TOMA DE CARGA DEL TRANSFORMADOR DE NUEVO TRANSFORMADOR DE POTENCIA EN PEDRO CARBO, PARA LIBERAR SUBESTACIÓN MÓVIL"/>
    <m/>
    <s v="PEDRO CARBO"/>
    <m/>
    <s v="GUAYAS"/>
    <s v="Pedro Carbo"/>
    <s v="09PC09"/>
    <s v="Trabajos Correctivos"/>
    <n v="7.5"/>
    <d v="2026-06-06T00:00:00"/>
    <d v="1899-12-30T03:00:00"/>
    <d v="2026-06-06T00:00:00"/>
    <d v="1899-12-30T06:00:00"/>
    <n v="1500"/>
    <m/>
    <s v="MENOR IMPACTO EN MADRUGADA"/>
    <s v="SUBESTACIÓN"/>
    <n v="13379"/>
    <n v="13379"/>
    <n v="22500"/>
    <n v="2025"/>
  </r>
  <r>
    <n v="40"/>
    <x v="2"/>
    <s v="DESCONEXIÓN CNEL 2, CNEL 3, CNEL 4 PARA CAMBIO DE TOPOLOGIA Y REPOTENCIACIÓN DE LÍNEA DE SUBTRANSMIÓN HOSPITAL DURÁN - DURÁN SUR"/>
    <s v="CNEL 2, CNEL 3, CNEL 4"/>
    <m/>
    <m/>
    <s v="GUAYAS"/>
    <s v="Durán"/>
    <m/>
    <s v="Ingreso nuevas cargas"/>
    <n v="220"/>
    <d v="2026-06-07T00:00:00"/>
    <d v="1899-12-30T03:00:00"/>
    <d v="2026-06-07T00:00:00"/>
    <d v="1899-12-30T06:00:00"/>
    <n v="6800"/>
    <m/>
    <s v="MENOR IMPACTO EN MADRUGADA"/>
    <s v="LST"/>
    <n v="41887"/>
    <n v="41887"/>
    <n v="660000"/>
    <n v="59400"/>
  </r>
  <r>
    <n v="41"/>
    <x v="2"/>
    <s v="CAMBIO DE ESTRUPTURAS Y CORRECCION DE ANOMALIAS TERMICAS"/>
    <m/>
    <s v="MOCACHE"/>
    <s v="MOCACHE"/>
    <m/>
    <m/>
    <s v="09MC420T11"/>
    <s v="Trabajos Preventivos"/>
    <n v="3"/>
    <d v="2026-06-06T00:00:00"/>
    <d v="1899-12-30T00:00:00"/>
    <d v="2026-06-06T00:00:00"/>
    <d v="1899-12-30T03:00:00"/>
    <n v="1350"/>
    <n v="0"/>
    <s v="MENOR IMPACTO EN MADRUGADA"/>
    <s v="ALIMENTADOR"/>
    <n v="6880"/>
    <n v="6880"/>
    <n v="9000"/>
    <n v="810"/>
  </r>
  <r>
    <n v="42"/>
    <x v="2"/>
    <s v="CONSTRUCCION DE RED DE MEDIA TENSION SEGÚN CONTRATO CNEL-GLR-AJ-2025-022 “GLR REPOTENCIACIÓN DEL_x000a_ ALIMENTADOR VALENCIA ETAPA 1 TRAMO LA ESPERANZA HASTA EL SECCIONAMIENTO MARÍA_x000a_ FERNANDA, VÍA AL VERGEL GD”"/>
    <m/>
    <s v="VALENCIA"/>
    <s v="VALENCIA"/>
    <m/>
    <m/>
    <s v="09VA140T13"/>
    <s v="Extensiones de red"/>
    <n v="2"/>
    <d v="2026-06-06T00:00:00"/>
    <d v="1899-12-30T00:00:00"/>
    <d v="2026-06-06T00:00:00"/>
    <d v="1899-12-30T03:00:00"/>
    <n v="4500"/>
    <n v="0"/>
    <s v="MENOR IMPACTO EN MADRUGADA"/>
    <s v="ALIMENTADOR"/>
    <n v="4244"/>
    <n v="4244"/>
    <n v="6000"/>
    <n v="540"/>
  </r>
  <r>
    <n v="43"/>
    <x v="2"/>
    <s v="CORRECCION DE ANOMALIAS TERMICAS EN LA SUBESTACION EL ROSARIO"/>
    <m/>
    <s v="ROSARIO"/>
    <m/>
    <m/>
    <m/>
    <s v="09ER37"/>
    <s v="Trabajos Correctivos"/>
    <n v="2.5"/>
    <d v="2026-06-06T00:00:00"/>
    <d v="1899-12-30T03:00:00"/>
    <d v="2026-06-06T00:00:00"/>
    <d v="1899-12-30T06:00:00"/>
    <n v="2500"/>
    <n v="0"/>
    <s v="MENOR IMPACTO EN MADRUGADA"/>
    <s v="LST"/>
    <n v="4653"/>
    <n v="4653"/>
    <n v="7500"/>
    <n v="675"/>
  </r>
  <r>
    <n v="44"/>
    <x v="2"/>
    <s v="CORRECCION DE ANOMALIAS TERMICAS EN LA SUBESTACION MOCACHE"/>
    <m/>
    <s v="MOCACHE"/>
    <m/>
    <m/>
    <m/>
    <s v="09MC42"/>
    <s v="Trabajos Correctivos"/>
    <n v="4.5999999999999996"/>
    <d v="2026-06-06T00:00:00"/>
    <d v="1899-12-30T08:00:00"/>
    <d v="2026-06-06T00:00:00"/>
    <d v="1899-12-30T11:00:00"/>
    <n v="1350"/>
    <n v="0"/>
    <s v="PARA REALIZAR LOS TRABAJOS SE REQUIERE LA LUZ DEL DÍA DEBIDO A QUE NO SE CUENTA CON SUFICIENTE ILUMINACION PARA REALIZAR LOS TRABAJOS Y LA PELIGROSIDAD DE LA ZONA"/>
    <s v="SUBESTACIÓN"/>
    <n v="6291"/>
    <n v="6291"/>
    <n v="13800"/>
    <n v="1242"/>
  </r>
  <r>
    <n v="45"/>
    <x v="2"/>
    <s v="CORRECCION DE ANOMALIAS TERMICAS EN LA SUBESTACION QUEVEDO SUR"/>
    <m/>
    <s v="QUEVEDO SUR"/>
    <m/>
    <m/>
    <m/>
    <s v="09QS10"/>
    <s v="Trabajos Correctivos"/>
    <n v="20.5"/>
    <d v="2026-06-06T00:00:00"/>
    <d v="1899-12-30T03:00:00"/>
    <d v="2026-06-06T00:00:00"/>
    <d v="1899-12-30T06:00:00"/>
    <n v="1850"/>
    <n v="0"/>
    <s v="MENOR IMPACTO EN MADRUGADA"/>
    <s v="SUBESTACIÓN"/>
    <n v="29908"/>
    <n v="29908"/>
    <n v="61500"/>
    <n v="5535"/>
  </r>
  <r>
    <n v="46"/>
    <x v="2"/>
    <s v="CORRECCION DE ANOMALIAS TERMICAS EN LA SUBESTACION VALENCIA"/>
    <m/>
    <s v="VALENCIA"/>
    <m/>
    <m/>
    <m/>
    <s v="09VA14"/>
    <s v="Trabajos Correctivos"/>
    <n v="7.8"/>
    <d v="2026-06-06T00:00:00"/>
    <d v="1899-12-30T08:00:00"/>
    <d v="2026-06-06T00:00:00"/>
    <d v="1899-12-30T11:00:00"/>
    <n v="1350"/>
    <n v="0"/>
    <s v="PARA REALIZAR LOS TRABAJOS SE REQUIERE LA LUZ DEL DÍA DEBIDO A LA PELIGROSIDAD DE LA ZONA"/>
    <s v="SUBESTACIÓN"/>
    <n v="11667"/>
    <n v="11667"/>
    <n v="23400"/>
    <n v="2106"/>
  </r>
  <r>
    <n v="47"/>
    <x v="3"/>
    <s v="CAMBIO DE SECCIONADORES TIPO TANDEM DEL ALIMENTADOR PROGRESO EN MAL ESTADO, CAMBIO DE SECCIONADOR DEL TRANSFORAMDOR DE SERVICIOS AUXILIARES, CORRECCIÓN DE FUGA DE ACEITE EN TRANSFORMADOR DE POTENCIA, LLENADO DE GAS SF6 EN INTERRUPTOR PRINCIPAL DEL TRANSFORMADOR DE POTENCIA"/>
    <m/>
    <s v="BABA"/>
    <m/>
    <s v="LOS RIOS"/>
    <s v="BABA"/>
    <s v="10BA05"/>
    <s v="Trabajos Correctivos"/>
    <n v="4.5"/>
    <d v="2026-06-06T00:00:00"/>
    <d v="1899-12-30T03:00:00"/>
    <d v="2026-06-06T00:00:00"/>
    <d v="1899-12-30T06:00:00"/>
    <n v="10370.73"/>
    <n v="0"/>
    <s v="SE PLANTEA EL HORARIO MOSTRADO DEBIDO AL TOQUE DE QUEDA QUE CULMINA 05H00 Y LA SE BABA ESTA A 30 MINUTOS DE DISTANCIA DE DONDE SALE EL PERSONAL Y EL TRASLADO HACIA LA SE EN HORAS DE LA MADRUGADA ES ALTAMENTE PELIGROSO"/>
    <s v="SUBESTACIÓN"/>
    <n v="6545"/>
    <n v="10674"/>
    <n v="13500"/>
    <n v="1215"/>
  </r>
  <r>
    <n v="48"/>
    <x v="4"/>
    <s v="Cambio de poste, aisladores y desbroce"/>
    <m/>
    <s v="MANTA 4"/>
    <s v="No 42"/>
    <s v="MANABI"/>
    <s v="MANTA"/>
    <s v="11M4150T11"/>
    <s v="Trabajos Preventivos"/>
    <n v="3.8"/>
    <d v="2026-06-07T00:00:00"/>
    <d v="1899-12-30T03:00:00"/>
    <d v="2026-06-07T00:00:00"/>
    <d v="1899-12-30T06:00:00"/>
    <n v="4000"/>
    <n v="0"/>
    <s v="Horario de menora afectación"/>
    <s v="ALIMENTADOR"/>
    <n v="4273"/>
    <n v="4273"/>
    <n v="11400"/>
    <n v="1026"/>
  </r>
  <r>
    <n v="49"/>
    <x v="5"/>
    <s v="ANOMALÍAS TÉRMICAS EN CT DE BARRA,INTERRUPTOR Y SECCIONADOR DE BARRA 13,8kV, MONTAJE DE NUEVOS CT´S PARA MEDICIÓN Y PROTECCIÓN, REAJUSTE EN RECONECTADORES DE SALIDAS"/>
    <m/>
    <s v="CENTRAL DIESEL"/>
    <m/>
    <s v="GUAYAS"/>
    <s v="MILAGRO"/>
    <s v="12DI14"/>
    <s v="Trabajos Correctivos"/>
    <n v="12"/>
    <d v="2026-06-07T00:00:00"/>
    <d v="1899-12-30T02:00:00"/>
    <d v="2026-06-07T00:00:00"/>
    <d v="1899-12-30T05:00:00"/>
    <n v="3045.24"/>
    <n v="0"/>
    <m/>
    <s v="SUBESTACIÓN"/>
    <n v="9119"/>
    <n v="9119"/>
    <n v="36000"/>
    <n v="3240"/>
  </r>
  <r>
    <n v="50"/>
    <x v="5"/>
    <s v="ANOMALÍAS TÉRMICAS EN SECCIONADORES DE ENTRADA ALIMENTADORES,  CAMBIO DE HERRAJES EN EQUIPOS DE SUBESTACIÓN, CAMBIO DE SECCIONADORES QUE PRESENTAN PUNTOS CALIENTES."/>
    <m/>
    <s v="MONTERO"/>
    <m/>
    <s v="GUAYAS"/>
    <s v="YAGUACHI"/>
    <s v="12MO08"/>
    <s v="Trabajos Correctivos"/>
    <n v="7"/>
    <d v="2026-06-06T00:00:00"/>
    <d v="1899-12-30T02:00:00"/>
    <d v="2026-06-06T00:00:00"/>
    <d v="1899-12-30T05:00:00"/>
    <n v="5765.24"/>
    <n v="0"/>
    <m/>
    <s v="SUBESTACIÓN"/>
    <n v="11724"/>
    <n v="11724"/>
    <n v="21000"/>
    <n v="1890"/>
  </r>
  <r>
    <n v="51"/>
    <x v="6"/>
    <s v="MANTENIMIENTO PREVENTIVO DE LOS CUADROS DE 13.8KV Y 69KV EN LA S/E PAYAMINO"/>
    <m/>
    <s v="PAYAMINO"/>
    <m/>
    <s v="Orellana"/>
    <s v="Francisco de Orellana"/>
    <s v="20PY02"/>
    <s v="Trabajos Preventivos"/>
    <n v="13.59"/>
    <d v="2026-06-06T00:00:00"/>
    <d v="1899-12-30T03:00:00"/>
    <d v="2026-06-06T00:00:00"/>
    <d v="1899-12-30T06:00:00"/>
    <n v="1500"/>
    <n v="0"/>
    <m/>
    <s v="SUBESTACIÓN"/>
    <n v="27109"/>
    <n v="27109"/>
    <n v="40770"/>
    <n v="3669.2999999999997"/>
  </r>
  <r>
    <n v="52"/>
    <x v="3"/>
    <s v="MANTENIMIENTO AL TRANSFORMADOR DE POTENCIA, BARRAJE A 13,8KV Y CAMBIO DE INTERRUPTOR PRINCIPAL DE 13,8KV Y SECCIONAMIENTOS DE LOS ALIMENTADORES"/>
    <m/>
    <s v="CENTRO INDUSTRIAL"/>
    <m/>
    <s v="LOS RIOS"/>
    <s v="BABAHOYO, JUJAN"/>
    <s v="10CI01"/>
    <s v="Trabajos Correctivos"/>
    <n v="8.5"/>
    <d v="2026-06-07T00:00:00"/>
    <d v="1899-12-30T03:00:00"/>
    <d v="2026-06-07T00:00:00"/>
    <d v="1899-12-30T06:00:00"/>
    <n v="55048.43"/>
    <n v="0"/>
    <s v="SE PLANTEA EL HORARIO MOSTRADO DEBIDO AL TOQUE DE QUEDA QUE CULMINA 05H00"/>
    <s v="SUBESTACIÓN"/>
    <n v="5273"/>
    <n v="14892"/>
    <n v="25500"/>
    <n v="2295"/>
  </r>
  <r>
    <n v="53"/>
    <x v="4"/>
    <s v="Puesta en operación del T2 en subestacion Lodana, trabajos en subtransmision de cambio de cadenas de aisladores y correccion de puntos calientes"/>
    <s v="PORTOVIEJO CELEC L6 - LODANA"/>
    <s v="LODANA; CAZA LAGARTO; BELLAVISTA"/>
    <m/>
    <s v="MANABI"/>
    <s v="PORTOVIEJO"/>
    <s v="LST"/>
    <s v="Trabajos Preventivos"/>
    <n v="32"/>
    <d v="2026-06-06T00:00:00"/>
    <d v="1899-12-30T06:00:00"/>
    <d v="2026-06-06T00:00:00"/>
    <d v="1899-12-30T09:00:00"/>
    <n v="19234"/>
    <n v="0"/>
    <s v="Trabajos seran realizados en zona montañosa y de dificil acceso, por esta razon se requiere tener visibilidad en lostrabajos e ingreso a los puntos"/>
    <s v="LST"/>
    <n v="19764"/>
    <n v="19764"/>
    <n v="96000"/>
    <n v="8640"/>
  </r>
  <r>
    <n v="54"/>
    <x v="0"/>
    <s v="CAMBIO DE ESTRUCTURAS DE MEDIA TENSIÓN"/>
    <m/>
    <m/>
    <s v="03_03_Camaron"/>
    <s v="Bolívar"/>
    <s v="Echeandia"/>
    <s v="03EC030T14"/>
    <s v="Trabajos Preventivos"/>
    <n v="0.18"/>
    <d v="2026-06-06T00:00:00"/>
    <d v="1899-12-30T09:00:00"/>
    <d v="2026-06-06T00:00:00"/>
    <d v="1899-12-30T12:00:00"/>
    <n v="12159.84"/>
    <n v="0"/>
    <s v="Trabajos en área rural, se consideró horario de menor impacto"/>
    <s v="ALIMENTADOR"/>
    <n v="350"/>
    <m/>
    <n v="540"/>
    <n v="48.6"/>
  </r>
  <r>
    <n v="55"/>
    <x v="0"/>
    <s v="CAMBIO DE ESTRUCTURAS DE MEDIA TENSIÓN"/>
    <m/>
    <m/>
    <s v="03_02_Salinas"/>
    <s v="Bolívar"/>
    <s v="Guaranda"/>
    <s v="03GN020T12"/>
    <s v="Trabajos Preventivos"/>
    <n v="0.24"/>
    <d v="2026-06-06T00:00:00"/>
    <d v="1899-12-30T09:00:00"/>
    <d v="2026-06-06T00:00:00"/>
    <d v="1899-12-30T12:00:00"/>
    <n v="10200"/>
    <n v="0"/>
    <s v="Trabajos en área rural, se consideró horario de menor impacto"/>
    <s v="ALIMENTADOR"/>
    <n v="1351"/>
    <m/>
    <n v="720"/>
    <n v="64.8"/>
  </r>
  <r>
    <n v="56"/>
    <x v="0"/>
    <s v="CAMBIO DE ESTRUCTURAS DE MEDIA TENSIÓN"/>
    <m/>
    <m/>
    <s v="03_02_Simiatug"/>
    <s v="Bolívar"/>
    <s v="Simiatug"/>
    <s v="03GN020T15"/>
    <s v="Trabajos Preventivos"/>
    <n v="0.64"/>
    <d v="2026-06-07T00:00:00"/>
    <d v="1899-12-30T09:00:00"/>
    <d v="2026-06-07T00:00:00"/>
    <d v="1899-12-30T12:00:00"/>
    <n v="15350"/>
    <n v="0"/>
    <s v="Trabajos en área rural, se consideró horario de menor impacto"/>
    <s v="ALIMENTADOR"/>
    <n v="2600"/>
    <m/>
    <n v="1920"/>
    <n v="172.79999999999998"/>
  </r>
  <r>
    <n v="57"/>
    <x v="0"/>
    <s v="DIVISIÓN DE CIRCUITOS EN MEDIA TENSIÓN"/>
    <m/>
    <m/>
    <s v="03_06_Chillanes"/>
    <s v="Bolívar"/>
    <s v="Chillanes"/>
    <s v="03SI060T11"/>
    <s v="Trabajos Correctivos"/>
    <n v="8.5000000000000006E-2"/>
    <d v="2026-05-30T00:00:00"/>
    <d v="1899-12-30T10:00:00"/>
    <d v="2026-05-30T00:00:00"/>
    <d v="1899-12-30T12:00:00"/>
    <n v="3048.56"/>
    <n v="0"/>
    <s v="Trabajos en área rural, se consideró horario de menor impacto"/>
    <s v="ALIMENTADOR"/>
    <n v="120"/>
    <m/>
    <n v="169.99999999999997"/>
    <n v="15.299999999999997"/>
  </r>
  <r>
    <n v="58"/>
    <x v="0"/>
    <s v="INCORPORACION DE RED DE MEDIA TENSIÓN"/>
    <m/>
    <m/>
    <s v="03_06_San Pablo"/>
    <s v="Bolívar"/>
    <s v="San Miguel"/>
    <s v="03SI060T12"/>
    <s v="Trabajos Correctivos"/>
    <n v="0.2"/>
    <d v="2026-05-30T00:00:00"/>
    <d v="1899-12-30T09:00:00"/>
    <d v="2026-05-30T00:00:00"/>
    <d v="1899-12-30T12:00:00"/>
    <n v="2360.7800000000002"/>
    <n v="0"/>
    <s v="Trabajos en área rural, se consideró horario de menor impacto"/>
    <s v="ALIMENTADOR"/>
    <n v="600"/>
    <m/>
    <n v="600"/>
    <n v="54"/>
  </r>
  <r>
    <n v="59"/>
    <x v="0"/>
    <s v="MONTAJE DE TRANSFORMADOR TRIFASICO Y TENDIDO DE RED PARA CENTRO DE RAYOS X"/>
    <m/>
    <m/>
    <s v="03_02_Guanujo"/>
    <s v="Bolívar"/>
    <s v="Guaranda"/>
    <s v="03GN020T13"/>
    <s v="Ingreso nuevas cargas"/>
    <n v="0.4"/>
    <d v="2026-05-31T00:00:00"/>
    <d v="1899-12-30T03:00:00"/>
    <d v="2026-05-31T00:00:00"/>
    <d v="1899-12-30T06:00:00"/>
    <n v="20000"/>
    <n v="0"/>
    <m/>
    <s v="ALIMENTADOR"/>
    <n v="930"/>
    <m/>
    <n v="1200"/>
    <n v="108"/>
  </r>
  <r>
    <n v="60"/>
    <x v="3"/>
    <s v="ALIMENTADOR CATARAMA, DERIVACIÓN MONOFÁSICA HACIA SECTOR LOS SAUCES, CAMBIO Y REUBICACIÓN DE POSTES EN RED DE MEDIA Y BAJA TENSIÓN, MIGRACIÓN DE RED DESNUDA A TIPO PRENSAMBLADA EN BAJA TENSIÓN, CAMBIO DE AISLAMIENTO"/>
    <m/>
    <m/>
    <s v="CATARAMA"/>
    <s v="LOS RIOS"/>
    <s v="URDANETA"/>
    <s v="10PU070T12"/>
    <s v="Trabajos Preventivos"/>
    <n v="0.2"/>
    <d v="2026-06-06T00:00:00"/>
    <d v="1899-12-30T09:00:00"/>
    <d v="2026-06-06T00:00:00"/>
    <d v="1899-12-30T12:00:00"/>
    <n v="7600"/>
    <n v="0"/>
    <s v="SECTOR DE DIFICIL ACCESO, ZONA PELIGROSA."/>
    <s v="ALIMENTADOR"/>
    <n v="510"/>
    <n v="510"/>
    <n v="600"/>
    <n v="54"/>
  </r>
  <r>
    <n v="61"/>
    <x v="3"/>
    <s v="ALIMENTADOR TRIFASICO PUEBLOVIEJO CAMBIO DE ESTRUCTURAS Y AISLAMIENTO DESDE ESTERO HONDO HACIA PUERTO PECHICHE,"/>
    <m/>
    <m/>
    <s v="PUEBLOVIEJO"/>
    <s v="LOS RIOS"/>
    <s v="PUEBLOVIEJO"/>
    <s v="10PU070T11"/>
    <s v="Trabajos Preventivos"/>
    <n v="1"/>
    <d v="2026-05-30T00:00:00"/>
    <d v="1899-12-30T07:00:00"/>
    <d v="2026-05-30T00:00:00"/>
    <d v="1899-12-30T10:00:00"/>
    <n v="8700"/>
    <n v="1700"/>
    <s v="SECTOR DE DIFICIL ACCESO, ZONA PELIGROSA."/>
    <s v="ALIMENTADOR"/>
    <n v="1563"/>
    <n v="1563"/>
    <n v="3000"/>
    <n v="270"/>
  </r>
  <r>
    <n v="62"/>
    <x v="3"/>
    <s v="CAMBIO DE AISLADORES,ESTRUCTURAS Y POSTES"/>
    <m/>
    <m/>
    <s v="PUEBLONUEVO"/>
    <s v="LOS RIOS"/>
    <s v="PUEBLOVIEJO"/>
    <s v="10CI010T13"/>
    <s v="Trabajos Preventivos"/>
    <n v="0.6"/>
    <d v="2026-06-06T00:00:00"/>
    <d v="1899-12-30T07:00:00"/>
    <d v="2026-06-06T00:00:00"/>
    <d v="1899-12-30T10:00:00"/>
    <n v="3000"/>
    <n v="0"/>
    <s v="TRABAJO EN SECTOR RURAL ZONA PELIGROSA"/>
    <s v="ALIMENTADOR"/>
    <n v="2909"/>
    <n v="2909"/>
    <n v="1800"/>
    <n v="162"/>
  </r>
  <r>
    <n v="63"/>
    <x v="3"/>
    <s v="CAMBIO DE BAJANTES DE PREEMSAMBLADO E INSTALACION DE PUESTA TIERRA"/>
    <m/>
    <m/>
    <s v="VENTANAS CENTRO"/>
    <s v="LOS RIOS"/>
    <s v="VENTANAS"/>
    <s v="10VE090T12"/>
    <s v="Trabajos Preventivos"/>
    <n v="0.05"/>
    <d v="2026-05-30T00:00:00"/>
    <d v="1899-12-30T08:00:00"/>
    <d v="2026-05-30T00:00:00"/>
    <d v="1899-12-30T09:30:00"/>
    <n v="250"/>
    <n v="0"/>
    <s v="EL EQUIPO A INTERVENIR ESTA EN SU DEMANDA BAJA"/>
    <s v="ALIMENTADOR"/>
    <n v="31"/>
    <n v="31"/>
    <n v="75"/>
    <n v="6.75"/>
  </r>
  <r>
    <n v="64"/>
    <x v="3"/>
    <s v="CAMBIO DE BAJANTES DE PREEMSAMBLADO E INSTALACION DE PUESTA TIERRA"/>
    <m/>
    <m/>
    <s v="VENTANAS CENTRO"/>
    <s v="LOS RIOS"/>
    <s v="VENTANAS"/>
    <s v="10VE090T12"/>
    <s v="Trabajos Preventivos"/>
    <n v="0.05"/>
    <d v="2026-05-30T00:00:00"/>
    <d v="1899-12-30T11:00:00"/>
    <d v="2026-05-30T00:00:00"/>
    <d v="1899-12-30T12:30:00"/>
    <n v="250"/>
    <n v="0"/>
    <s v="EL EQUIPO A INTERVENIR ESTA EN SU DEMANDA BAJA"/>
    <s v="ALIMENTADOR"/>
    <n v="63"/>
    <n v="63"/>
    <n v="75.000000000000071"/>
    <n v="6.7500000000000062"/>
  </r>
  <r>
    <n v="65"/>
    <x v="3"/>
    <s v="CAMBIO DE BAJANTES DE PREEMSAMBLADO E INSTALACION DE PUESTA TIERRA"/>
    <m/>
    <m/>
    <s v="VENTANAS CENTRO"/>
    <s v="LOS RIOS"/>
    <s v="VENTANAS"/>
    <s v="10VE090T12"/>
    <s v="Trabajos Preventivos"/>
    <n v="0.05"/>
    <d v="2026-05-30T00:00:00"/>
    <d v="1899-12-30T14:00:00"/>
    <d v="2026-05-30T00:00:00"/>
    <d v="1899-12-30T15:30:00"/>
    <n v="250"/>
    <n v="0"/>
    <s v="EL EQUIPO A INTERVENIR ESTA EN SU DEMANDA BAJA"/>
    <s v="ALIMENTADOR"/>
    <n v="1"/>
    <n v="1"/>
    <n v="75"/>
    <n v="6.75"/>
  </r>
  <r>
    <n v="66"/>
    <x v="3"/>
    <s v="CAMBIO DE BAJANTES DE PREEMSAMBLADO E INSTALACION DE PUESTA TIERRA"/>
    <m/>
    <m/>
    <s v="VENTANAS CENTRO"/>
    <s v="LOS RIOS"/>
    <s v="VENTANAS"/>
    <s v="10VE090T12"/>
    <s v="Trabajos Preventivos"/>
    <n v="0.05"/>
    <d v="2026-05-30T00:00:00"/>
    <d v="1899-12-30T15:30:00"/>
    <d v="2026-05-30T00:00:00"/>
    <d v="1899-12-30T17:00:00"/>
    <n v="250"/>
    <n v="0"/>
    <s v="EL EQUIPO A INTERVENIR ESTA EN SU DEMANDA BAJA"/>
    <s v="ALIMENTADOR"/>
    <n v="24"/>
    <n v="24"/>
    <n v="75"/>
    <n v="6.75"/>
  </r>
  <r>
    <n v="67"/>
    <x v="3"/>
    <s v="CAMBIO DE BAJANTES DE PREEMSAMBLADO E INSTALACION DE PUESTA TIERRA"/>
    <m/>
    <m/>
    <s v="VENTANAS CENTRO"/>
    <s v="LOS RIOS"/>
    <s v="VENTANAS"/>
    <s v="10VE090T12"/>
    <s v="Trabajos Preventivos"/>
    <n v="0.05"/>
    <d v="2026-06-07T00:00:00"/>
    <d v="1899-12-30T11:00:00"/>
    <d v="2026-06-07T00:00:00"/>
    <d v="1899-12-30T12:30:00"/>
    <n v="250"/>
    <n v="0"/>
    <s v="EL EQUIPO A INTERVENIR ESTA EN SU DEMANDA BAJA"/>
    <s v="ALIMENTADOR"/>
    <n v="30"/>
    <n v="30"/>
    <n v="75.000000000000071"/>
    <n v="6.7500000000000062"/>
  </r>
  <r>
    <n v="68"/>
    <x v="3"/>
    <s v="CAMBIO DE BAJANTES DE PREEMSAMBLADO E INSTALACION DE PUESTA TIERRA"/>
    <m/>
    <m/>
    <s v="VENTANAS SUR"/>
    <s v="LOS RIOS"/>
    <s v="VENTANAS"/>
    <s v="10VE090T11"/>
    <s v="Trabajos Preventivos"/>
    <n v="0.05"/>
    <d v="2026-06-07T00:00:00"/>
    <d v="1899-12-30T15:30:00"/>
    <d v="2026-06-07T00:00:00"/>
    <d v="1899-12-30T17:00:00"/>
    <n v="250"/>
    <n v="0"/>
    <s v="EL EQUIPO A INTERVENIR ESTA EN SU DEMANDA BAJA"/>
    <s v="ALIMENTADOR"/>
    <n v="130"/>
    <n v="130"/>
    <n v="75"/>
    <n v="6.75"/>
  </r>
  <r>
    <n v="69"/>
    <x v="3"/>
    <s v="CAMBIO DE ESTRUCTURAS Y AISLAMIENTO EN ALIM. ZAPOTAL"/>
    <m/>
    <m/>
    <s v="ZAPOTAL"/>
    <s v="LOS RIOS"/>
    <s v="VENTANAS"/>
    <s v="10ER100T12"/>
    <s v="Trabajos Preventivos"/>
    <n v="1.5"/>
    <d v="2026-06-06T00:00:00"/>
    <d v="1899-12-30T09:00:00"/>
    <d v="2026-06-06T00:00:00"/>
    <d v="1899-12-30T12:00:00"/>
    <n v="16134.49"/>
    <n v="2063.54"/>
    <s v="DIA Y HORARIO DE BAJA DEMANDA SEGÚN EL HISTORICO DE CARGABILIDAD Y BUEN HORARIO PARA TRANFERIR CARGA CON ALIM. LECHUGAL"/>
    <s v="ALIMENTADOR"/>
    <n v="41"/>
    <n v="41"/>
    <n v="4500"/>
    <n v="405"/>
  </r>
  <r>
    <n v="70"/>
    <x v="3"/>
    <s v="CAMBIO DE RED CONVENCIONAL A RED PREENSAMBLADA EN CIRCUITO DE RED DE BAJA TENSION, QUINSALOMA, AV. 3 DE MAYO Y CALLE SIMON BOLIVAR"/>
    <m/>
    <m/>
    <s v="QUINSALOMA"/>
    <s v="LOS RIOS"/>
    <s v="QUINSALOMA"/>
    <s v="10ER100T13"/>
    <s v="Trabajos Preventivos"/>
    <n v="0.05"/>
    <d v="2026-05-30T00:00:00"/>
    <d v="1899-12-30T14:00:00"/>
    <d v="2026-05-30T00:00:00"/>
    <d v="1899-12-30T17:00:00"/>
    <n v="3854.48"/>
    <n v="0"/>
    <s v="MENOS DEMANDA EN EL HORARIO PLANIFICADO (DESCONEXION DE UN SOLO TRANSFORMADOR)"/>
    <s v="ALIMENTADOR"/>
    <n v="64"/>
    <n v="64"/>
    <n v="150"/>
    <n v="13.5"/>
  </r>
  <r>
    <n v="71"/>
    <x v="3"/>
    <s v="INSTALACION DE ESTRIBO, PUESTA TIERRA Y CAMBIO DE BAJANTES DE PREEMSAMBLADO POR ESTAR EN MAL ESTADO"/>
    <m/>
    <m/>
    <s v="VENTANAS CENTRO"/>
    <s v="LOS RIOS"/>
    <s v="VENTANAS"/>
    <s v="10VE090T12"/>
    <s v="Trabajos Preventivos"/>
    <n v="0.05"/>
    <d v="2026-05-30T00:00:00"/>
    <d v="1899-12-30T09:30:00"/>
    <d v="2026-05-30T00:00:00"/>
    <d v="1899-12-30T11:00:00"/>
    <n v="250"/>
    <n v="0"/>
    <s v="EL EQUIPO A INTERVENIR ESTA EN SU DEMANDA BAJA"/>
    <s v="ALIMENTADOR"/>
    <n v="64"/>
    <n v="64"/>
    <n v="75"/>
    <n v="6.75"/>
  </r>
  <r>
    <n v="72"/>
    <x v="3"/>
    <s v="INSTALACION DE ESTRIBO, PUESTA TIERRA Y CAMBIO DE BAJANTES DE PREEMSAMBLADO."/>
    <m/>
    <m/>
    <s v="VENTANAS CENTRO"/>
    <s v="LOS RIOS"/>
    <s v="VENTANAS"/>
    <s v="10VE090T12"/>
    <s v="Trabajos Preventivos"/>
    <n v="0.05"/>
    <d v="2026-06-07T00:00:00"/>
    <d v="1899-12-30T12:30:00"/>
    <d v="2026-06-07T00:00:00"/>
    <d v="1899-12-30T14:00:00"/>
    <n v="250"/>
    <n v="0"/>
    <s v="EL EQUIPO A INTERVENIR ESTA EN SU DEMANDA BAJA"/>
    <s v="ALIMENTADOR"/>
    <n v="45"/>
    <n v="45"/>
    <n v="75"/>
    <n v="6.75"/>
  </r>
  <r>
    <n v="73"/>
    <x v="3"/>
    <s v="INSTALACION DE PUESTA TIERRA"/>
    <m/>
    <m/>
    <s v="VENTANAS SUR"/>
    <s v="LOS RIOS"/>
    <s v="VENTANAS"/>
    <s v="10VE090T11"/>
    <s v="Trabajos Preventivos"/>
    <n v="0.05"/>
    <d v="2026-06-07T00:00:00"/>
    <d v="1899-12-30T09:30:00"/>
    <d v="2026-06-07T00:00:00"/>
    <d v="1899-12-30T11:00:00"/>
    <n v="100"/>
    <n v="0"/>
    <s v="EL EQUIPO A INTERVENIR ESTA EN SU DEMANDA BAJA"/>
    <s v="ALIMENTADOR"/>
    <n v="32"/>
    <n v="32"/>
    <n v="75"/>
    <n v="6.75"/>
  </r>
  <r>
    <n v="74"/>
    <x v="3"/>
    <s v="INSTALACION DE PUESTA TIERRA Y CAMBIO DE BAJANTES DE COBRE POR MAL ESTADO"/>
    <m/>
    <m/>
    <s v="VENTANAS SUR"/>
    <s v="LOS RIOS"/>
    <s v="VENTANAS"/>
    <s v="10VE090T11"/>
    <s v="Trabajos Preventivos"/>
    <n v="0.05"/>
    <d v="2026-06-07T00:00:00"/>
    <d v="1899-12-30T08:00:00"/>
    <d v="2026-06-07T00:00:00"/>
    <d v="1899-12-30T09:30:00"/>
    <n v="250"/>
    <n v="0"/>
    <s v="EL EQUIPO A INTERVENIR ESTA EN SU DEMANDA BAJA"/>
    <s v="ALIMENTADOR"/>
    <n v="14"/>
    <n v="14"/>
    <n v="75"/>
    <n v="6.75"/>
  </r>
  <r>
    <n v="75"/>
    <x v="3"/>
    <s v="INSTALACION DE PUESTA TIERRA Y SECCIONADOR"/>
    <m/>
    <m/>
    <s v="VENTANAS SUR"/>
    <s v="LOS RIOS"/>
    <s v="VENTANAS"/>
    <s v="10VE090T11"/>
    <s v="Trabajos Preventivos"/>
    <n v="0.05"/>
    <d v="2026-06-06T00:00:00"/>
    <d v="1899-12-30T09:30:00"/>
    <d v="2026-06-06T00:00:00"/>
    <d v="1899-12-30T11:00:00"/>
    <n v="80"/>
    <n v="0"/>
    <s v="EL EQUIPO A INTERVENIR ESTA EN SU DEMANDA BAJA"/>
    <s v="ALIMENTADOR"/>
    <n v="87"/>
    <n v="87"/>
    <n v="75"/>
    <n v="6.75"/>
  </r>
  <r>
    <n v="76"/>
    <x v="3"/>
    <s v="INSTALACION DE PUESTA TIERRA Y SECCIONADOR"/>
    <m/>
    <m/>
    <s v="VENTANAS SUR"/>
    <s v="LOS RIOS"/>
    <s v="VENTANAS"/>
    <s v="10VE090T11"/>
    <s v="Trabajos Preventivos"/>
    <n v="0.05"/>
    <d v="2026-06-06T00:00:00"/>
    <d v="1899-12-30T11:00:00"/>
    <d v="2026-06-06T00:00:00"/>
    <d v="1899-12-30T12:30:00"/>
    <n v="80"/>
    <n v="0"/>
    <s v="EL EQUIPO A INTERVENIR ESTA EN SU DEMANDA BAJA"/>
    <s v="ALIMENTADOR"/>
    <n v="25"/>
    <n v="25"/>
    <n v="75.000000000000071"/>
    <n v="6.7500000000000062"/>
  </r>
  <r>
    <n v="77"/>
    <x v="3"/>
    <s v="INSTALACION DE SECCIONADOR, ESTRIBO, PUESTA TIERRA Y CAMBIO DE BAJANTES DE COBRE POR MAL ESTADO"/>
    <m/>
    <m/>
    <s v="VENTANAS SUR"/>
    <s v="LOS RIOS"/>
    <s v="VENTANAS"/>
    <s v="10VE090T11"/>
    <s v="Trabajos Preventivos"/>
    <n v="0.05"/>
    <d v="2026-06-07T00:00:00"/>
    <d v="1899-12-30T14:00:00"/>
    <d v="2026-06-07T00:00:00"/>
    <d v="1899-12-30T15:30:00"/>
    <n v="250"/>
    <n v="0"/>
    <s v="EL EQUIPO A INTERVENIR ESTA EN SU DEMANDA BAJA"/>
    <s v="ALIMENTADOR"/>
    <n v="97"/>
    <n v="97"/>
    <n v="75"/>
    <n v="6.75"/>
  </r>
  <r>
    <n v="78"/>
    <x v="3"/>
    <s v="INSTALACION DE SECCIONADOR, PUESTA TIERRA Y CAMBIO DE BAJANTES DE PREEMSAMBLADO POR ESTAR EN MAL ESTADO"/>
    <m/>
    <m/>
    <s v="VENTANAS CENTRO"/>
    <s v="LOS RIOS"/>
    <s v="VENTANAS"/>
    <s v="10VE090T12"/>
    <s v="Trabajos Preventivos"/>
    <n v="0.05"/>
    <d v="2026-05-30T00:00:00"/>
    <d v="1899-12-30T12:30:00"/>
    <d v="2026-05-30T00:00:00"/>
    <d v="1899-12-30T14:00:00"/>
    <n v="250"/>
    <n v="0"/>
    <s v="EL EQUIPO A INTERVENIR ESTA EN SU DEMANDA BAJA"/>
    <s v="ALIMENTADOR"/>
    <n v="24"/>
    <n v="24"/>
    <n v="75"/>
    <n v="6.75"/>
  </r>
  <r>
    <n v="79"/>
    <x v="3"/>
    <s v="INSTALACION DE SECCIONADOR, PUESTA TIERRA Y CAMBIO DE BAJANTES DE PREEMSAMBLADO."/>
    <m/>
    <m/>
    <s v="VENTANAS SUR"/>
    <s v="LOS RIOS"/>
    <s v="VENTANAS"/>
    <s v="10VE090T11"/>
    <s v="Trabajos Preventivos"/>
    <n v="0.05"/>
    <d v="2026-06-06T00:00:00"/>
    <d v="1899-12-30T14:00:00"/>
    <d v="2026-06-06T00:00:00"/>
    <d v="1899-12-30T15:30:00"/>
    <n v="250"/>
    <n v="0"/>
    <s v="EL EQUIPO A INTERVENIR ESTA EN SU DEMANDA BAJA"/>
    <s v="ALIMENTADOR"/>
    <n v="24"/>
    <n v="24"/>
    <n v="75"/>
    <n v="6.75"/>
  </r>
  <r>
    <n v="80"/>
    <x v="3"/>
    <s v="SE DEBE REALIZAR EL CAMBIO DE LA BAJANTES DE COBRE POR MAL ESTADO"/>
    <m/>
    <m/>
    <s v="VENTANAS SUR"/>
    <s v="LOS RIOS"/>
    <s v="VENTANAS"/>
    <s v="10VE090T11"/>
    <s v="Trabajos Preventivos"/>
    <n v="0.05"/>
    <d v="2026-06-06T00:00:00"/>
    <d v="1899-12-30T08:00:00"/>
    <d v="2026-06-06T00:00:00"/>
    <d v="1899-12-30T09:30:00"/>
    <n v="200"/>
    <n v="0"/>
    <s v="EL EQUIPO A INTERVENIR ESTA EN SU DEMANDA BAJA"/>
    <s v="ALIMENTADOR"/>
    <n v="72"/>
    <n v="72"/>
    <n v="75"/>
    <n v="6.75"/>
  </r>
  <r>
    <n v="81"/>
    <x v="3"/>
    <s v="SE DEBE REALIZAR EL CAMBIO DE LA BAJANTES DE COBRE POR MAL ESTADO"/>
    <m/>
    <m/>
    <s v="VENTANAS SUR"/>
    <s v="LOS RIOS"/>
    <s v="VENTANAS"/>
    <s v="10VE090T11"/>
    <s v="Trabajos Preventivos"/>
    <n v="0.05"/>
    <d v="2026-06-06T00:00:00"/>
    <d v="1899-12-30T15:30:00"/>
    <d v="2026-06-06T00:00:00"/>
    <d v="1899-12-30T17:00:00"/>
    <n v="250"/>
    <n v="0"/>
    <s v="EL EQUIPO A INTERVENIR ESTA EN SU DEMANDA BAJA"/>
    <s v="ALIMENTADOR"/>
    <n v="26"/>
    <n v="26"/>
    <n v="75"/>
    <n v="6.75"/>
  </r>
  <r>
    <n v="82"/>
    <x v="7"/>
    <s v="DESCONEXION PROGRAMADA PARA REALIZAR TRABAJOS DE CONSTRUCCION, ESTRUCTURADO DE POSTES, TENDIDO Y AMARRADO DE CONDUCTOR 4/0 AWG, TRABAJOS PLANIFICADOS SERAN EJECUTADOS CON LA FINALIDAD DE GARANTIZAR LA CALIDAD DEL SERVICIO"/>
    <m/>
    <m/>
    <s v="CHAMANGA"/>
    <s v="ESMERALDAS"/>
    <s v="MUISNE"/>
    <s v="08SA120T12"/>
    <s v="Extensiones de red"/>
    <n v="0.6"/>
    <d v="2026-05-30T00:00:00"/>
    <d v="1899-12-30T14:00:00"/>
    <d v="2026-05-30T00:00:00"/>
    <d v="1899-12-30T17:00:00"/>
    <n v="290410.31"/>
    <n v="0"/>
    <s v="HORARIO DE MENOR IMPACTO HACIA LOS USUARIOS POR DESLASTRE DE CARGA EN DEMANDA MINIMA"/>
    <s v="ALIMENTADOR"/>
    <n v="1285"/>
    <n v="1285"/>
    <n v="1800"/>
    <n v="162"/>
  </r>
  <r>
    <n v="83"/>
    <x v="7"/>
    <s v="DESCONEXION PROGRAMADA PARA REALIZAR TRABAJOS DE CONSTRUCCION, ESTRUCTURADO DE POSTES, TENDIDO Y AMARRADO DE CONDUCTOR 4/0 AWG, TRABAJOS PLANIFICADOS SERAN EJECUTADOS CON LA FINALIDAD DE GARANTIZAR LA CALIDAD DEL SERVICIO"/>
    <m/>
    <m/>
    <s v="CHAMANGA"/>
    <s v="ESMERALDAS"/>
    <s v="MUISNE"/>
    <s v="08SA120T12"/>
    <s v="Extensiones de red"/>
    <n v="0.6"/>
    <d v="2026-05-31T00:00:00"/>
    <d v="1899-12-30T14:00:00"/>
    <d v="2026-05-31T00:00:00"/>
    <d v="1899-12-30T17:00:00"/>
    <n v="290410.31"/>
    <n v="0"/>
    <s v="HORARIO DE MENOR IMPACTO HACIA LOS USUARIOS POR DESLASTRE DE CARGA EN DEMANDA MINIMA"/>
    <s v="ALIMENTADOR"/>
    <n v="1285"/>
    <n v="1285"/>
    <n v="1800"/>
    <n v="162"/>
  </r>
  <r>
    <n v="84"/>
    <x v="7"/>
    <s v="DESCONEXION PROGRAMADA PARA REALIZAR TRABAJOS DE CONSTRUCCION, ESTRUCTURADO DE POSTES, TENDIDO Y AMARRADO DE CONDUCTOR 4/0 AWG, TRABAJOS PLANIFICADOS SERAN EJECUTADOS CON LA FINALIDAD DE GARANTIZAR LA CALIDAD DEL SERVICIO"/>
    <m/>
    <m/>
    <s v="MOMPICHE"/>
    <s v="ESMERALDAS"/>
    <s v="MUISNE"/>
    <s v="08SA120T11"/>
    <s v="Extensiones de red"/>
    <n v="1.2"/>
    <d v="2026-06-06T00:00:00"/>
    <d v="1899-12-30T14:00:00"/>
    <d v="2026-06-06T00:00:00"/>
    <d v="1899-12-30T17:00:00"/>
    <n v="290410.31"/>
    <n v="0"/>
    <s v="HORARIO DE MENOR IMPACTO HACIA LOS USUARIOS POR DESLASTRE DE CARGA EN DEMANDA MINIMA"/>
    <s v="ALIMENTADOR"/>
    <n v="1623"/>
    <n v="1623"/>
    <n v="3600"/>
    <n v="324"/>
  </r>
  <r>
    <n v="85"/>
    <x v="7"/>
    <s v="DESCONEXION PROGRAMADA PARA REALIZAR TRABAJOS DE CONSTRUCCION, ESTRUCTURADO DE POSTES, TENDIDO Y AMARRADO DE CONDUCTOR 4/0 AWG, TRABAJOS PLANIFICADOS SERAN EJECUTADOS CON LA FINALIDAD DE GARANTIZAR LA CALIDAD DEL SERVICIO"/>
    <m/>
    <m/>
    <s v="MOMPICHE"/>
    <s v="ESMERALDAS"/>
    <s v="MUISNE"/>
    <s v="08SA120T11"/>
    <s v="Extensiones de red"/>
    <n v="1.2"/>
    <d v="2026-06-07T00:00:00"/>
    <d v="1899-12-30T14:00:00"/>
    <d v="2026-06-07T00:00:00"/>
    <d v="1899-12-30T17:00:00"/>
    <n v="290410.31"/>
    <n v="0"/>
    <s v="HORARIO DE MENOR IMPACTO HACIA LOS USUARIOS POR DESLASTRE DE CARGA EN DEMANDA MINIMA"/>
    <s v="ALIMENTADOR"/>
    <n v="1623"/>
    <n v="1623"/>
    <n v="3600"/>
    <n v="324"/>
  </r>
  <r>
    <n v="86"/>
    <x v="8"/>
    <s v="Mantenimiento a cuarto eléctrico"/>
    <m/>
    <m/>
    <s v="04_06_Centro Park"/>
    <s v="GUAYAS"/>
    <s v="Guayaquil"/>
    <s v="04AY060T14"/>
    <s v="Trabajos Preventivos"/>
    <n v="0.25"/>
    <d v="2026-05-31T00:00:00"/>
    <d v="1899-12-30T02:00:00"/>
    <d v="2026-05-31T00:00:00"/>
    <d v="1899-12-30T05:00:00"/>
    <n v="5200"/>
    <n v="22699.16"/>
    <s v="HORARIO DE MENOR IMPACTO HACIA LOS USUARIOS POR DESLASTRE DE CARGA EN DEMANDA MINIMA"/>
    <s v="ALIMENTADOR"/>
    <n v="150"/>
    <n v="309"/>
    <n v="750"/>
    <n v="67.5"/>
  </r>
  <r>
    <n v="87"/>
    <x v="8"/>
    <s v="Mantenimiento a cuarto eléctrico"/>
    <m/>
    <m/>
    <s v="04_09_Malecon"/>
    <s v="GUAYAS"/>
    <s v="Guayaquil"/>
    <s v="04BO090T12"/>
    <s v="Trabajos Preventivos"/>
    <n v="0.16700000000000001"/>
    <d v="2026-05-31T00:00:00"/>
    <d v="1899-12-30T02:00:00"/>
    <d v="2026-05-31T00:00:00"/>
    <d v="1899-12-30T05:00:00"/>
    <n v="5100"/>
    <n v="22699.16"/>
    <s v="HORARIO DE MENOR IMPACTO HACIA LOS USUARIOS POR DESLASTRE DE CARGA EN DEMANDA MINIMA"/>
    <s v="ALIMENTADOR"/>
    <n v="150"/>
    <n v="659"/>
    <n v="501"/>
    <n v="45.089999999999996"/>
  </r>
  <r>
    <n v="88"/>
    <x v="8"/>
    <s v="Mantenimiento a cuarto eléctrico"/>
    <m/>
    <m/>
    <s v="04_09_Rocafuerte"/>
    <s v="GUAYAS"/>
    <s v="Guayaquil"/>
    <s v="04BO090T24"/>
    <s v="Trabajos Preventivos"/>
    <n v="0.16700000000000001"/>
    <d v="2026-05-31T00:00:00"/>
    <d v="1899-12-30T02:00:00"/>
    <d v="2026-05-31T00:00:00"/>
    <d v="1899-12-30T05:00:00"/>
    <n v="4950"/>
    <n v="22699.16"/>
    <s v="HORARIO DE MENOR IMPACTO HACIA LOS USUARIOS POR DESLASTRE DE CARGA EN DEMANDA MINIMA"/>
    <s v="ALIMENTADOR"/>
    <n v="150"/>
    <n v="518"/>
    <n v="501"/>
    <n v="45.089999999999996"/>
  </r>
  <r>
    <n v="89"/>
    <x v="5"/>
    <s v="ANOMALÍAS TÉRMICAS EN ENTRADA Y SALIDA DEL SECCIONADOR DEL ALIMENTADOR LORENZO DE GARAICOA, SALIDA MATA DE CACAO"/>
    <m/>
    <s v="LORENZO DE GARAICOA"/>
    <m/>
    <s v="GUAYAS"/>
    <s v="Simón Bolivar"/>
    <s v="12LG02"/>
    <s v="Trabajos Correctivos"/>
    <n v="3"/>
    <d v="2026-06-06T00:00:00"/>
    <d v="1899-12-30T06:00:00"/>
    <d v="2026-06-06T00:00:00"/>
    <d v="1899-12-30T08:30:00"/>
    <n v="3665.24"/>
    <n v="0"/>
    <s v="SECTORES RURALES ALEJADOS DE LA CIUDAD, ZONA PELIGROSA"/>
    <s v="SUBESTACIÓN"/>
    <n v="11009"/>
    <n v="11009"/>
    <n v="7500.0000000000009"/>
    <n v="675.00000000000011"/>
  </r>
  <r>
    <n v="90"/>
    <x v="1"/>
    <s v="CONEXIÓN DE BANCO DE CAPACITORES"/>
    <m/>
    <m/>
    <s v="RIO BONITO"/>
    <s v="EL ORO"/>
    <s v="EL GUABO"/>
    <s v="07PA120T13"/>
    <s v="Trabajos Preventivos"/>
    <n v="0.3"/>
    <d v="2026-06-07T00:00:00"/>
    <d v="1899-12-30T08:00:00"/>
    <d v="2026-06-07T00:00:00"/>
    <d v="1899-12-30T11:00:00"/>
    <n v="2345"/>
    <n v="0"/>
    <s v="Zona rural"/>
    <s v="ALIMENTADOR"/>
    <n v="932"/>
    <n v="932"/>
    <n v="900"/>
    <n v="81"/>
  </r>
  <r>
    <n v="91"/>
    <x v="1"/>
    <s v="CONEXIÓN DE BANCO DE CAPACITORES"/>
    <m/>
    <m/>
    <s v="SABANA DE PAGUA"/>
    <s v="EL ORO"/>
    <s v="EL GUABO"/>
    <s v="07PA120T22"/>
    <s v="Trabajos Preventivos"/>
    <n v="0.4"/>
    <d v="2026-06-07T00:00:00"/>
    <d v="1899-12-30T08:00:00"/>
    <d v="2026-06-07T00:00:00"/>
    <d v="1899-12-30T11:00:00"/>
    <n v="500"/>
    <n v="0"/>
    <s v="Zona rural"/>
    <s v="ALIMENTADOR"/>
    <n v="356"/>
    <n v="356"/>
    <n v="1200"/>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1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F13" firstHeaderRow="0" firstDataRow="1" firstDataCol="1"/>
  <pivotFields count="23">
    <pivotField showAll="0"/>
    <pivotField axis="axisRow" showAll="0">
      <items count="10">
        <item x="0"/>
        <item x="1"/>
        <item x="7"/>
        <item x="8"/>
        <item x="2"/>
        <item x="3"/>
        <item x="4"/>
        <item x="5"/>
        <item x="6"/>
        <item t="default"/>
      </items>
    </pivotField>
    <pivotField dataField="1" showAll="0"/>
    <pivotField showAll="0"/>
    <pivotField showAll="0"/>
    <pivotField showAll="0"/>
    <pivotField showAll="0"/>
    <pivotField showAll="0"/>
    <pivotField showAll="0"/>
    <pivotField showAll="0"/>
    <pivotField showAll="0"/>
    <pivotField numFmtId="164" showAll="0"/>
    <pivotField numFmtId="20" showAll="0"/>
    <pivotField numFmtId="164" showAll="0"/>
    <pivotField numFmtId="20" showAll="0"/>
    <pivotField dataField="1" numFmtId="44" showAll="0"/>
    <pivotField showAll="0"/>
    <pivotField showAll="0"/>
    <pivotField showAll="0"/>
    <pivotField dataField="1" showAll="0"/>
    <pivotField showAll="0"/>
    <pivotField dataField="1" showAll="0"/>
    <pivotField dataField="1" numFmtId="165" showAll="0"/>
  </pivotFields>
  <rowFields count="1">
    <field x="1"/>
  </rowFields>
  <rowItems count="10">
    <i>
      <x/>
    </i>
    <i>
      <x v="1"/>
    </i>
    <i>
      <x v="2"/>
    </i>
    <i>
      <x v="3"/>
    </i>
    <i>
      <x v="4"/>
    </i>
    <i>
      <x v="5"/>
    </i>
    <i>
      <x v="6"/>
    </i>
    <i>
      <x v="7"/>
    </i>
    <i>
      <x v="8"/>
    </i>
    <i t="grand">
      <x/>
    </i>
  </rowItems>
  <colFields count="1">
    <field x="-2"/>
  </colFields>
  <colItems count="5">
    <i>
      <x/>
    </i>
    <i i="1">
      <x v="1"/>
    </i>
    <i i="2">
      <x v="2"/>
    </i>
    <i i="3">
      <x v="3"/>
    </i>
    <i i="4">
      <x v="4"/>
    </i>
  </colItems>
  <dataFields count="5">
    <dataField name="Cuenta de PROYECTO O DESCRIPCIÓN DE LOS TRABAJOS" fld="2" subtotal="count" baseField="0" baseItem="0"/>
    <dataField name="Suma de $ Valoración de los trabajos (materiales + Mano de obra)" fld="15" baseField="0" baseItem="0" numFmtId="44"/>
    <dataField name="Suma de Clientes" fld="19" baseField="1" baseItem="0"/>
    <dataField name="Suma de Energía kW-h (por desconexión)}" fld="21" baseField="0" baseItem="0"/>
    <dataField name="Suma de USD energia (por desconexión)" fld="22" baseField="0" baseItem="0" numFmtId="44"/>
  </dataFields>
  <formats count="2">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8"/>
  <sheetViews>
    <sheetView workbookViewId="0">
      <selection activeCell="H16" sqref="H16"/>
    </sheetView>
  </sheetViews>
  <sheetFormatPr baseColWidth="10" defaultRowHeight="14.4" x14ac:dyDescent="0.3"/>
  <cols>
    <col min="1" max="6" width="12.33203125" customWidth="1"/>
    <col min="9" max="9" width="13.5546875" bestFit="1" customWidth="1"/>
    <col min="11" max="11" width="12.5546875" bestFit="1" customWidth="1"/>
    <col min="12" max="12" width="12" bestFit="1" customWidth="1"/>
  </cols>
  <sheetData>
    <row r="3" spans="1:6" x14ac:dyDescent="0.3">
      <c r="A3" s="59" t="s">
        <v>325</v>
      </c>
      <c r="B3" t="s">
        <v>327</v>
      </c>
      <c r="C3" t="s">
        <v>328</v>
      </c>
      <c r="D3" t="s">
        <v>329</v>
      </c>
      <c r="E3" t="s">
        <v>334</v>
      </c>
      <c r="F3" t="s">
        <v>330</v>
      </c>
    </row>
    <row r="4" spans="1:6" x14ac:dyDescent="0.3">
      <c r="A4" s="60" t="s">
        <v>22</v>
      </c>
      <c r="B4" s="61">
        <v>9</v>
      </c>
      <c r="C4" s="62">
        <v>87777.84</v>
      </c>
      <c r="D4" s="61">
        <v>30198</v>
      </c>
      <c r="E4" s="61">
        <v>15920</v>
      </c>
      <c r="F4" s="62">
        <v>1432.8</v>
      </c>
    </row>
    <row r="5" spans="1:6" x14ac:dyDescent="0.3">
      <c r="A5" s="60" t="s">
        <v>35</v>
      </c>
      <c r="B5" s="61">
        <v>17</v>
      </c>
      <c r="C5" s="62">
        <v>63637.590000000018</v>
      </c>
      <c r="D5" s="61">
        <v>140685</v>
      </c>
      <c r="E5" s="61">
        <v>389400</v>
      </c>
      <c r="F5" s="62">
        <v>35046</v>
      </c>
    </row>
    <row r="6" spans="1:6" x14ac:dyDescent="0.3">
      <c r="A6" s="60" t="s">
        <v>142</v>
      </c>
      <c r="B6" s="61">
        <v>6</v>
      </c>
      <c r="C6" s="62">
        <v>1184067.5900000001</v>
      </c>
      <c r="D6" s="61">
        <v>37385</v>
      </c>
      <c r="E6" s="61">
        <v>77970</v>
      </c>
      <c r="F6" s="62">
        <v>7017.3</v>
      </c>
    </row>
    <row r="7" spans="1:6" x14ac:dyDescent="0.3">
      <c r="A7" s="60" t="s">
        <v>254</v>
      </c>
      <c r="B7" s="61">
        <v>3</v>
      </c>
      <c r="C7" s="62">
        <v>15250</v>
      </c>
      <c r="D7" s="61">
        <v>450</v>
      </c>
      <c r="E7" s="61">
        <v>1752</v>
      </c>
      <c r="F7" s="62">
        <v>157.68</v>
      </c>
    </row>
    <row r="8" spans="1:6" x14ac:dyDescent="0.3">
      <c r="A8" s="60" t="s">
        <v>56</v>
      </c>
      <c r="B8" s="61">
        <v>17</v>
      </c>
      <c r="C8" s="62">
        <v>235634</v>
      </c>
      <c r="D8" s="61">
        <v>474731</v>
      </c>
      <c r="E8" s="61">
        <v>2288560</v>
      </c>
      <c r="F8" s="62">
        <v>205970.4</v>
      </c>
    </row>
    <row r="9" spans="1:6" x14ac:dyDescent="0.3">
      <c r="A9" s="60" t="s">
        <v>82</v>
      </c>
      <c r="B9" s="61">
        <v>26</v>
      </c>
      <c r="C9" s="62">
        <v>138026.46</v>
      </c>
      <c r="D9" s="61">
        <v>61096</v>
      </c>
      <c r="E9" s="61">
        <v>107825</v>
      </c>
      <c r="F9" s="62">
        <v>9704.25</v>
      </c>
    </row>
    <row r="10" spans="1:6" x14ac:dyDescent="0.3">
      <c r="A10" s="60" t="s">
        <v>94</v>
      </c>
      <c r="B10" s="61">
        <v>4</v>
      </c>
      <c r="C10" s="62">
        <v>37600</v>
      </c>
      <c r="D10" s="61">
        <v>50001</v>
      </c>
      <c r="E10" s="61">
        <v>158835</v>
      </c>
      <c r="F10" s="62">
        <v>14295.15</v>
      </c>
    </row>
    <row r="11" spans="1:6" x14ac:dyDescent="0.3">
      <c r="A11" s="60" t="s">
        <v>100</v>
      </c>
      <c r="B11" s="61">
        <v>6</v>
      </c>
      <c r="C11" s="62">
        <v>20408.68</v>
      </c>
      <c r="D11" s="61">
        <v>48176</v>
      </c>
      <c r="E11" s="61">
        <v>105000</v>
      </c>
      <c r="F11" s="62">
        <v>9450</v>
      </c>
    </row>
    <row r="12" spans="1:6" x14ac:dyDescent="0.3">
      <c r="A12" s="60" t="s">
        <v>113</v>
      </c>
      <c r="B12" s="61">
        <v>3</v>
      </c>
      <c r="C12" s="62">
        <v>3000</v>
      </c>
      <c r="D12" s="61">
        <v>48917</v>
      </c>
      <c r="E12" s="61">
        <v>65430</v>
      </c>
      <c r="F12" s="62">
        <v>5888.6999999999989</v>
      </c>
    </row>
    <row r="13" spans="1:6" x14ac:dyDescent="0.3">
      <c r="A13" s="60" t="s">
        <v>326</v>
      </c>
      <c r="B13" s="61">
        <v>91</v>
      </c>
      <c r="C13" s="62">
        <v>1785402.1600000001</v>
      </c>
      <c r="D13" s="61">
        <v>891639</v>
      </c>
      <c r="E13" s="61">
        <v>3210692</v>
      </c>
      <c r="F13" s="62">
        <v>288962.27999999997</v>
      </c>
    </row>
    <row r="18" spans="7:12" x14ac:dyDescent="0.3">
      <c r="G18" s="64" t="s">
        <v>335</v>
      </c>
      <c r="H18" s="64" t="s">
        <v>331</v>
      </c>
      <c r="I18" s="64" t="s">
        <v>332</v>
      </c>
      <c r="J18" s="64" t="s">
        <v>333</v>
      </c>
      <c r="K18" s="64" t="s">
        <v>337</v>
      </c>
      <c r="L18" s="64" t="s">
        <v>336</v>
      </c>
    </row>
    <row r="19" spans="7:12" x14ac:dyDescent="0.3">
      <c r="G19" s="63" t="s">
        <v>22</v>
      </c>
      <c r="H19" s="63">
        <v>9</v>
      </c>
      <c r="I19" s="67">
        <v>87777.84</v>
      </c>
      <c r="J19" s="69">
        <v>30198</v>
      </c>
      <c r="K19" s="65">
        <v>15920</v>
      </c>
      <c r="L19" s="67">
        <v>1432.8</v>
      </c>
    </row>
    <row r="20" spans="7:12" x14ac:dyDescent="0.3">
      <c r="G20" s="63" t="s">
        <v>35</v>
      </c>
      <c r="H20" s="63">
        <v>17</v>
      </c>
      <c r="I20" s="67">
        <v>63637.590000000018</v>
      </c>
      <c r="J20" s="69">
        <v>140685</v>
      </c>
      <c r="K20" s="65">
        <v>389400</v>
      </c>
      <c r="L20" s="67">
        <v>35046</v>
      </c>
    </row>
    <row r="21" spans="7:12" x14ac:dyDescent="0.3">
      <c r="G21" s="63" t="s">
        <v>142</v>
      </c>
      <c r="H21" s="63">
        <v>6</v>
      </c>
      <c r="I21" s="67">
        <v>1184067.5900000001</v>
      </c>
      <c r="J21" s="69">
        <v>37385</v>
      </c>
      <c r="K21" s="65">
        <v>77970</v>
      </c>
      <c r="L21" s="67">
        <v>7017.3</v>
      </c>
    </row>
    <row r="22" spans="7:12" x14ac:dyDescent="0.3">
      <c r="G22" s="63" t="s">
        <v>254</v>
      </c>
      <c r="H22" s="63">
        <v>3</v>
      </c>
      <c r="I22" s="67">
        <v>15250</v>
      </c>
      <c r="J22" s="69">
        <v>450</v>
      </c>
      <c r="K22" s="65">
        <v>1752</v>
      </c>
      <c r="L22" s="67">
        <v>157.68</v>
      </c>
    </row>
    <row r="23" spans="7:12" x14ac:dyDescent="0.3">
      <c r="G23" s="63" t="s">
        <v>56</v>
      </c>
      <c r="H23" s="63">
        <v>17</v>
      </c>
      <c r="I23" s="67">
        <v>235634</v>
      </c>
      <c r="J23" s="69">
        <v>474731</v>
      </c>
      <c r="K23" s="65">
        <v>2288560</v>
      </c>
      <c r="L23" s="67">
        <v>205970.4</v>
      </c>
    </row>
    <row r="24" spans="7:12" x14ac:dyDescent="0.3">
      <c r="G24" s="63" t="s">
        <v>82</v>
      </c>
      <c r="H24" s="63">
        <v>26</v>
      </c>
      <c r="I24" s="67">
        <v>138026.46</v>
      </c>
      <c r="J24" s="69">
        <v>61096</v>
      </c>
      <c r="K24" s="65">
        <v>107825</v>
      </c>
      <c r="L24" s="67">
        <v>9704.25</v>
      </c>
    </row>
    <row r="25" spans="7:12" x14ac:dyDescent="0.3">
      <c r="G25" s="63" t="s">
        <v>94</v>
      </c>
      <c r="H25" s="63">
        <v>4</v>
      </c>
      <c r="I25" s="67">
        <v>37600</v>
      </c>
      <c r="J25" s="69">
        <v>50001</v>
      </c>
      <c r="K25" s="65">
        <v>158835</v>
      </c>
      <c r="L25" s="67">
        <v>14295.15</v>
      </c>
    </row>
    <row r="26" spans="7:12" x14ac:dyDescent="0.3">
      <c r="G26" s="63" t="s">
        <v>100</v>
      </c>
      <c r="H26" s="63">
        <v>6</v>
      </c>
      <c r="I26" s="67">
        <v>20408.68</v>
      </c>
      <c r="J26" s="69">
        <v>48176</v>
      </c>
      <c r="K26" s="65">
        <v>105000</v>
      </c>
      <c r="L26" s="67">
        <v>9450</v>
      </c>
    </row>
    <row r="27" spans="7:12" x14ac:dyDescent="0.3">
      <c r="G27" s="63" t="s">
        <v>113</v>
      </c>
      <c r="H27" s="63">
        <v>3</v>
      </c>
      <c r="I27" s="67">
        <v>3000</v>
      </c>
      <c r="J27" s="69">
        <v>48917</v>
      </c>
      <c r="K27" s="65">
        <v>65430</v>
      </c>
      <c r="L27" s="67">
        <v>5888.6999999999989</v>
      </c>
    </row>
    <row r="28" spans="7:12" x14ac:dyDescent="0.3">
      <c r="G28" s="64" t="s">
        <v>326</v>
      </c>
      <c r="H28" s="64">
        <v>91</v>
      </c>
      <c r="I28" s="68">
        <v>1785402.1600000001</v>
      </c>
      <c r="J28" s="70">
        <v>891639</v>
      </c>
      <c r="K28" s="66">
        <v>3210692</v>
      </c>
      <c r="L28" s="68">
        <v>288962.27999999997</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tabSelected="1" zoomScale="85" zoomScaleNormal="85" workbookViewId="0">
      <pane ySplit="5" topLeftCell="A6" activePane="bottomLeft" state="frozen"/>
      <selection pane="bottomLeft" activeCell="I96" sqref="I96"/>
    </sheetView>
  </sheetViews>
  <sheetFormatPr baseColWidth="10" defaultColWidth="11.44140625" defaultRowHeight="14.4" x14ac:dyDescent="0.3"/>
  <cols>
    <col min="1" max="1" width="10.33203125" style="37" customWidth="1"/>
    <col min="2" max="2" width="19.33203125" style="37" customWidth="1"/>
    <col min="3" max="3" width="50.33203125" style="37" customWidth="1"/>
    <col min="4" max="4" width="20.33203125" style="37" customWidth="1"/>
    <col min="5" max="6" width="15.44140625" style="37" customWidth="1"/>
    <col min="7" max="7" width="13.109375" style="37" customWidth="1"/>
    <col min="8" max="9" width="11.44140625" style="37" customWidth="1"/>
    <col min="10" max="11" width="17" style="37" customWidth="1"/>
    <col min="12" max="15" width="11.44140625" style="37" customWidth="1"/>
    <col min="16" max="16" width="16" style="37" customWidth="1"/>
    <col min="17" max="17" width="14.5546875" style="37" customWidth="1"/>
    <col min="18" max="18" width="24.88671875" style="37" customWidth="1"/>
    <col min="19" max="19" width="17.109375" style="37" customWidth="1"/>
    <col min="20" max="21" width="11.44140625" style="37" customWidth="1"/>
    <col min="22" max="22" width="17.5546875" style="37" customWidth="1"/>
    <col min="23" max="23" width="16.5546875" style="37" customWidth="1"/>
    <col min="24" max="24" width="18.5546875" style="37" customWidth="1"/>
    <col min="25" max="25" width="24.88671875" style="37" customWidth="1"/>
    <col min="26" max="26" width="57.5546875" style="37" customWidth="1"/>
    <col min="27" max="16384" width="11.44140625" style="37"/>
  </cols>
  <sheetData>
    <row r="1" spans="1:26" ht="18" x14ac:dyDescent="0.35">
      <c r="A1" s="56"/>
      <c r="B1" s="105" t="s">
        <v>320</v>
      </c>
      <c r="C1" s="105"/>
      <c r="D1" s="105"/>
      <c r="E1" s="105"/>
      <c r="F1" s="105"/>
      <c r="G1" s="105"/>
      <c r="H1" s="105"/>
      <c r="I1" s="105"/>
      <c r="J1" s="105"/>
      <c r="K1" s="105"/>
      <c r="L1" s="105"/>
      <c r="M1" s="105"/>
      <c r="N1" s="105"/>
      <c r="O1" s="105"/>
      <c r="P1" s="105"/>
      <c r="Q1" s="105"/>
      <c r="R1" s="105"/>
      <c r="S1" s="105"/>
      <c r="T1" s="105"/>
      <c r="U1" s="105"/>
      <c r="V1" s="105"/>
      <c r="W1" s="105"/>
      <c r="X1" s="79"/>
    </row>
    <row r="3" spans="1:26" x14ac:dyDescent="0.3">
      <c r="A3" s="57"/>
      <c r="B3" s="57"/>
      <c r="E3" s="8" t="s">
        <v>321</v>
      </c>
      <c r="F3" s="22" t="s">
        <v>322</v>
      </c>
      <c r="G3" s="106" t="s">
        <v>323</v>
      </c>
      <c r="H3" s="107"/>
    </row>
    <row r="5" spans="1:26" s="94" customFormat="1" ht="61.5" customHeight="1" x14ac:dyDescent="0.3">
      <c r="A5" s="1" t="s">
        <v>324</v>
      </c>
      <c r="B5" s="1" t="s">
        <v>0</v>
      </c>
      <c r="C5" s="1" t="s">
        <v>1</v>
      </c>
      <c r="D5" s="1" t="s">
        <v>2</v>
      </c>
      <c r="E5" s="1" t="s">
        <v>3</v>
      </c>
      <c r="F5" s="1" t="s">
        <v>4</v>
      </c>
      <c r="G5" s="1" t="s">
        <v>5</v>
      </c>
      <c r="H5" s="1" t="s">
        <v>6</v>
      </c>
      <c r="I5" s="1" t="s">
        <v>7</v>
      </c>
      <c r="J5" s="1" t="s">
        <v>8</v>
      </c>
      <c r="K5" s="1" t="s">
        <v>9</v>
      </c>
      <c r="L5" s="2" t="s">
        <v>10</v>
      </c>
      <c r="M5" s="1" t="s">
        <v>11</v>
      </c>
      <c r="N5" s="1" t="s">
        <v>12</v>
      </c>
      <c r="O5" s="1" t="s">
        <v>13</v>
      </c>
      <c r="P5" s="3" t="s">
        <v>14</v>
      </c>
      <c r="Q5" s="3" t="s">
        <v>15</v>
      </c>
      <c r="R5" s="1" t="s">
        <v>16</v>
      </c>
      <c r="S5" s="4" t="s">
        <v>17</v>
      </c>
      <c r="T5" s="5" t="s">
        <v>18</v>
      </c>
      <c r="U5" s="5" t="s">
        <v>19</v>
      </c>
      <c r="V5" s="5" t="s">
        <v>20</v>
      </c>
      <c r="W5" s="5" t="s">
        <v>21</v>
      </c>
      <c r="X5" s="5" t="s">
        <v>421</v>
      </c>
      <c r="Y5" s="1" t="s">
        <v>340</v>
      </c>
      <c r="Z5" s="72" t="s">
        <v>339</v>
      </c>
    </row>
    <row r="6" spans="1:26" ht="47.25" customHeight="1" x14ac:dyDescent="0.3">
      <c r="A6" s="8">
        <v>1</v>
      </c>
      <c r="B6" s="8" t="s">
        <v>22</v>
      </c>
      <c r="C6" s="8" t="s">
        <v>23</v>
      </c>
      <c r="D6" s="8"/>
      <c r="E6" s="8" t="s">
        <v>24</v>
      </c>
      <c r="F6" s="8"/>
      <c r="G6" s="8" t="s">
        <v>25</v>
      </c>
      <c r="H6" s="8" t="s">
        <v>26</v>
      </c>
      <c r="I6" s="8" t="s">
        <v>27</v>
      </c>
      <c r="J6" s="8" t="s">
        <v>28</v>
      </c>
      <c r="K6" s="8">
        <v>2.1800000000000002</v>
      </c>
      <c r="L6" s="9">
        <v>46172</v>
      </c>
      <c r="M6" s="10">
        <v>4.1666666666666664E-2</v>
      </c>
      <c r="N6" s="9">
        <v>46172</v>
      </c>
      <c r="O6" s="10">
        <v>0.16666666666666666</v>
      </c>
      <c r="P6" s="11">
        <v>9758.66</v>
      </c>
      <c r="Q6" s="11">
        <v>0</v>
      </c>
      <c r="R6" s="8"/>
      <c r="S6" s="8" t="s">
        <v>29</v>
      </c>
      <c r="T6" s="12">
        <v>13592</v>
      </c>
      <c r="U6" s="12">
        <v>13592</v>
      </c>
      <c r="V6" s="12">
        <v>6540</v>
      </c>
      <c r="W6" s="13">
        <v>588.6</v>
      </c>
      <c r="X6" s="13" t="s">
        <v>425</v>
      </c>
      <c r="Y6" s="8"/>
      <c r="Z6" s="71" t="s">
        <v>416</v>
      </c>
    </row>
    <row r="7" spans="1:26" ht="36.75" customHeight="1" x14ac:dyDescent="0.3">
      <c r="A7" s="8">
        <v>2</v>
      </c>
      <c r="B7" s="8" t="s">
        <v>35</v>
      </c>
      <c r="C7" s="8" t="s">
        <v>36</v>
      </c>
      <c r="D7" s="8"/>
      <c r="E7" s="8"/>
      <c r="F7" s="8" t="s">
        <v>37</v>
      </c>
      <c r="G7" s="8" t="s">
        <v>38</v>
      </c>
      <c r="H7" s="8" t="s">
        <v>39</v>
      </c>
      <c r="I7" s="8" t="s">
        <v>40</v>
      </c>
      <c r="J7" s="8" t="s">
        <v>41</v>
      </c>
      <c r="K7" s="8">
        <v>2</v>
      </c>
      <c r="L7" s="9">
        <v>46172</v>
      </c>
      <c r="M7" s="10">
        <v>0.125</v>
      </c>
      <c r="N7" s="9">
        <v>46172</v>
      </c>
      <c r="O7" s="10">
        <v>0.25</v>
      </c>
      <c r="P7" s="11">
        <v>1700</v>
      </c>
      <c r="Q7" s="11">
        <v>0</v>
      </c>
      <c r="R7" s="8" t="s">
        <v>42</v>
      </c>
      <c r="S7" s="8" t="s">
        <v>4</v>
      </c>
      <c r="T7" s="12">
        <v>1882</v>
      </c>
      <c r="U7" s="14">
        <v>1882</v>
      </c>
      <c r="V7" s="12">
        <v>6000</v>
      </c>
      <c r="W7" s="13">
        <v>540</v>
      </c>
      <c r="X7" s="13" t="s">
        <v>426</v>
      </c>
      <c r="Y7" s="8"/>
      <c r="Z7" s="71" t="s">
        <v>373</v>
      </c>
    </row>
    <row r="8" spans="1:26" ht="20.399999999999999" x14ac:dyDescent="0.3">
      <c r="A8" s="8">
        <v>3</v>
      </c>
      <c r="B8" s="8" t="s">
        <v>35</v>
      </c>
      <c r="C8" s="8" t="s">
        <v>43</v>
      </c>
      <c r="D8" s="8"/>
      <c r="E8" s="8" t="s">
        <v>44</v>
      </c>
      <c r="F8" s="8"/>
      <c r="G8" s="8" t="s">
        <v>45</v>
      </c>
      <c r="H8" s="8" t="s">
        <v>44</v>
      </c>
      <c r="I8" s="8" t="s">
        <v>46</v>
      </c>
      <c r="J8" s="8" t="s">
        <v>34</v>
      </c>
      <c r="K8" s="8">
        <v>11</v>
      </c>
      <c r="L8" s="9">
        <v>46172</v>
      </c>
      <c r="M8" s="10">
        <v>0.125</v>
      </c>
      <c r="N8" s="9">
        <v>46172</v>
      </c>
      <c r="O8" s="10">
        <v>0.25</v>
      </c>
      <c r="P8" s="11">
        <v>6990.81</v>
      </c>
      <c r="Q8" s="11">
        <v>0</v>
      </c>
      <c r="R8" s="8" t="s">
        <v>47</v>
      </c>
      <c r="S8" s="8" t="s">
        <v>29</v>
      </c>
      <c r="T8" s="12">
        <v>14991</v>
      </c>
      <c r="U8" s="14">
        <v>14991</v>
      </c>
      <c r="V8" s="12">
        <v>33000</v>
      </c>
      <c r="W8" s="13">
        <v>2970</v>
      </c>
      <c r="X8" s="13" t="s">
        <v>427</v>
      </c>
      <c r="Y8" s="8"/>
      <c r="Z8" s="71" t="s">
        <v>374</v>
      </c>
    </row>
    <row r="9" spans="1:26" ht="38.25" customHeight="1" x14ac:dyDescent="0.3">
      <c r="A9" s="8">
        <v>4</v>
      </c>
      <c r="B9" s="8" t="s">
        <v>35</v>
      </c>
      <c r="C9" s="8" t="s">
        <v>48</v>
      </c>
      <c r="D9" s="8"/>
      <c r="E9" s="8"/>
      <c r="F9" s="8" t="s">
        <v>49</v>
      </c>
      <c r="G9" s="8" t="s">
        <v>38</v>
      </c>
      <c r="H9" s="8" t="s">
        <v>39</v>
      </c>
      <c r="I9" s="8" t="s">
        <v>50</v>
      </c>
      <c r="J9" s="8" t="s">
        <v>28</v>
      </c>
      <c r="K9" s="8">
        <v>2.5</v>
      </c>
      <c r="L9" s="9">
        <v>46172</v>
      </c>
      <c r="M9" s="10">
        <v>0.125</v>
      </c>
      <c r="N9" s="9">
        <v>46172</v>
      </c>
      <c r="O9" s="10">
        <v>0.25</v>
      </c>
      <c r="P9" s="11">
        <v>2444.7600000000002</v>
      </c>
      <c r="Q9" s="11">
        <v>0</v>
      </c>
      <c r="R9" s="8" t="s">
        <v>42</v>
      </c>
      <c r="S9" s="8" t="s">
        <v>4</v>
      </c>
      <c r="T9" s="12">
        <v>639</v>
      </c>
      <c r="U9" s="14">
        <v>639</v>
      </c>
      <c r="V9" s="12">
        <v>7500</v>
      </c>
      <c r="W9" s="13">
        <v>675</v>
      </c>
      <c r="X9" s="13" t="s">
        <v>428</v>
      </c>
      <c r="Y9" s="8"/>
      <c r="Z9" s="71" t="s">
        <v>375</v>
      </c>
    </row>
    <row r="10" spans="1:26" ht="47.25" customHeight="1" x14ac:dyDescent="0.3">
      <c r="A10" s="8">
        <v>5</v>
      </c>
      <c r="B10" s="8" t="s">
        <v>35</v>
      </c>
      <c r="C10" s="8" t="s">
        <v>51</v>
      </c>
      <c r="D10" s="8"/>
      <c r="E10" s="8"/>
      <c r="F10" s="8" t="s">
        <v>52</v>
      </c>
      <c r="G10" s="8" t="s">
        <v>38</v>
      </c>
      <c r="H10" s="8" t="s">
        <v>39</v>
      </c>
      <c r="I10" s="8" t="s">
        <v>53</v>
      </c>
      <c r="J10" s="8" t="s">
        <v>28</v>
      </c>
      <c r="K10" s="8">
        <v>2.2999999999999998</v>
      </c>
      <c r="L10" s="9">
        <v>46172</v>
      </c>
      <c r="M10" s="10">
        <v>0.125</v>
      </c>
      <c r="N10" s="9">
        <v>46172</v>
      </c>
      <c r="O10" s="10">
        <v>0.25</v>
      </c>
      <c r="P10" s="11">
        <v>1001.35</v>
      </c>
      <c r="Q10" s="11">
        <v>0</v>
      </c>
      <c r="R10" s="8" t="s">
        <v>42</v>
      </c>
      <c r="S10" s="8" t="s">
        <v>4</v>
      </c>
      <c r="T10" s="12">
        <v>3229</v>
      </c>
      <c r="U10" s="14">
        <v>3229</v>
      </c>
      <c r="V10" s="12">
        <v>6900</v>
      </c>
      <c r="W10" s="13">
        <v>621</v>
      </c>
      <c r="X10" s="13" t="s">
        <v>429</v>
      </c>
      <c r="Y10" s="8"/>
      <c r="Z10" s="71" t="s">
        <v>376</v>
      </c>
    </row>
    <row r="11" spans="1:26" ht="43.5" customHeight="1" x14ac:dyDescent="0.3">
      <c r="A11" s="8">
        <v>6</v>
      </c>
      <c r="B11" s="8" t="s">
        <v>35</v>
      </c>
      <c r="C11" s="8" t="s">
        <v>54</v>
      </c>
      <c r="D11" s="8"/>
      <c r="E11" s="8"/>
      <c r="F11" s="8" t="s">
        <v>55</v>
      </c>
      <c r="G11" s="8" t="s">
        <v>38</v>
      </c>
      <c r="H11" s="8" t="s">
        <v>39</v>
      </c>
      <c r="I11" s="8" t="s">
        <v>53</v>
      </c>
      <c r="J11" s="8" t="s">
        <v>28</v>
      </c>
      <c r="K11" s="8">
        <v>3</v>
      </c>
      <c r="L11" s="9">
        <v>46172</v>
      </c>
      <c r="M11" s="10">
        <v>0.125</v>
      </c>
      <c r="N11" s="9">
        <v>46172</v>
      </c>
      <c r="O11" s="10">
        <v>0.25</v>
      </c>
      <c r="P11" s="11">
        <v>4869.34</v>
      </c>
      <c r="Q11" s="11">
        <v>0</v>
      </c>
      <c r="R11" s="8" t="s">
        <v>42</v>
      </c>
      <c r="S11" s="8" t="s">
        <v>4</v>
      </c>
      <c r="T11" s="12">
        <v>3229</v>
      </c>
      <c r="U11" s="14">
        <v>3229</v>
      </c>
      <c r="V11" s="12">
        <v>9000</v>
      </c>
      <c r="W11" s="13">
        <v>810</v>
      </c>
      <c r="X11" s="13" t="s">
        <v>430</v>
      </c>
      <c r="Y11" s="8"/>
      <c r="Z11" s="71" t="s">
        <v>377</v>
      </c>
    </row>
    <row r="12" spans="1:26" ht="51.75" customHeight="1" x14ac:dyDescent="0.3">
      <c r="A12" s="8">
        <v>7</v>
      </c>
      <c r="B12" s="8" t="s">
        <v>56</v>
      </c>
      <c r="C12" s="8" t="s">
        <v>57</v>
      </c>
      <c r="D12" s="8"/>
      <c r="E12" s="8" t="s">
        <v>58</v>
      </c>
      <c r="F12" s="8"/>
      <c r="G12" s="8" t="s">
        <v>59</v>
      </c>
      <c r="H12" s="8" t="s">
        <v>60</v>
      </c>
      <c r="I12" s="8" t="s">
        <v>61</v>
      </c>
      <c r="J12" s="8" t="s">
        <v>41</v>
      </c>
      <c r="K12" s="8">
        <v>7.5</v>
      </c>
      <c r="L12" s="15">
        <v>46173</v>
      </c>
      <c r="M12" s="10">
        <v>0.16666666666666666</v>
      </c>
      <c r="N12" s="15">
        <v>46173</v>
      </c>
      <c r="O12" s="10">
        <v>0.25</v>
      </c>
      <c r="P12" s="11">
        <v>2800</v>
      </c>
      <c r="Q12" s="11">
        <v>0</v>
      </c>
      <c r="R12" s="8" t="s">
        <v>62</v>
      </c>
      <c r="S12" s="8" t="s">
        <v>29</v>
      </c>
      <c r="T12" s="12">
        <v>13353</v>
      </c>
      <c r="U12" s="14">
        <v>13353</v>
      </c>
      <c r="V12" s="12">
        <v>15000</v>
      </c>
      <c r="W12" s="13">
        <v>1350</v>
      </c>
      <c r="X12" s="13" t="s">
        <v>431</v>
      </c>
      <c r="Y12" s="8"/>
      <c r="Z12" s="71" t="s">
        <v>357</v>
      </c>
    </row>
    <row r="13" spans="1:26" ht="409.6" x14ac:dyDescent="0.3">
      <c r="A13" s="8">
        <v>8</v>
      </c>
      <c r="B13" s="8" t="s">
        <v>56</v>
      </c>
      <c r="C13" s="8" t="s">
        <v>63</v>
      </c>
      <c r="D13" s="8" t="s">
        <v>64</v>
      </c>
      <c r="E13" s="8"/>
      <c r="F13" s="8"/>
      <c r="G13" s="8" t="s">
        <v>59</v>
      </c>
      <c r="H13" s="8" t="s">
        <v>65</v>
      </c>
      <c r="I13" s="8" t="s">
        <v>66</v>
      </c>
      <c r="J13" s="8" t="s">
        <v>67</v>
      </c>
      <c r="K13" s="8">
        <v>113</v>
      </c>
      <c r="L13" s="9">
        <v>46172</v>
      </c>
      <c r="M13" s="10">
        <v>0.125</v>
      </c>
      <c r="N13" s="9">
        <v>46172</v>
      </c>
      <c r="O13" s="10">
        <v>0.25</v>
      </c>
      <c r="P13" s="11">
        <v>70000</v>
      </c>
      <c r="Q13" s="11"/>
      <c r="R13" s="8" t="s">
        <v>62</v>
      </c>
      <c r="S13" s="8" t="s">
        <v>66</v>
      </c>
      <c r="T13" s="16">
        <v>96317</v>
      </c>
      <c r="U13" s="17">
        <v>96317</v>
      </c>
      <c r="V13" s="16">
        <v>339000</v>
      </c>
      <c r="W13" s="13">
        <v>30510</v>
      </c>
      <c r="X13" s="13" t="s">
        <v>432</v>
      </c>
      <c r="Y13" s="8"/>
      <c r="Z13" s="71" t="s">
        <v>358</v>
      </c>
    </row>
    <row r="14" spans="1:26" ht="377.4" x14ac:dyDescent="0.3">
      <c r="A14" s="8">
        <v>9</v>
      </c>
      <c r="B14" s="8" t="s">
        <v>56</v>
      </c>
      <c r="C14" s="8" t="s">
        <v>68</v>
      </c>
      <c r="D14" s="8" t="s">
        <v>69</v>
      </c>
      <c r="E14" s="8" t="s">
        <v>70</v>
      </c>
      <c r="F14" s="8"/>
      <c r="G14" s="8" t="s">
        <v>71</v>
      </c>
      <c r="H14" s="8" t="s">
        <v>72</v>
      </c>
      <c r="I14" s="8" t="s">
        <v>66</v>
      </c>
      <c r="J14" s="8" t="s">
        <v>67</v>
      </c>
      <c r="K14" s="8">
        <v>11.13</v>
      </c>
      <c r="L14" s="9">
        <v>46172</v>
      </c>
      <c r="M14" s="10">
        <v>0.125</v>
      </c>
      <c r="N14" s="9">
        <v>46172</v>
      </c>
      <c r="O14" s="10">
        <v>0.25</v>
      </c>
      <c r="P14" s="11">
        <v>3500</v>
      </c>
      <c r="Q14" s="11"/>
      <c r="R14" s="8" t="s">
        <v>73</v>
      </c>
      <c r="S14" s="8" t="s">
        <v>66</v>
      </c>
      <c r="T14" s="16">
        <v>16442</v>
      </c>
      <c r="U14" s="17">
        <v>16442</v>
      </c>
      <c r="V14" s="16">
        <v>33390</v>
      </c>
      <c r="W14" s="13">
        <v>3005.1</v>
      </c>
      <c r="X14" s="13" t="s">
        <v>433</v>
      </c>
      <c r="Y14" s="8"/>
      <c r="Z14" s="71" t="s">
        <v>364</v>
      </c>
    </row>
    <row r="15" spans="1:26" ht="77.25" customHeight="1" x14ac:dyDescent="0.3">
      <c r="A15" s="8">
        <v>10</v>
      </c>
      <c r="B15" s="8" t="s">
        <v>56</v>
      </c>
      <c r="C15" s="8" t="s">
        <v>74</v>
      </c>
      <c r="D15" s="8" t="s">
        <v>75</v>
      </c>
      <c r="E15" s="8"/>
      <c r="F15" s="8"/>
      <c r="G15" s="8" t="s">
        <v>59</v>
      </c>
      <c r="H15" s="8" t="s">
        <v>76</v>
      </c>
      <c r="I15" s="8" t="s">
        <v>66</v>
      </c>
      <c r="J15" s="8" t="s">
        <v>67</v>
      </c>
      <c r="K15" s="8">
        <v>45</v>
      </c>
      <c r="L15" s="9">
        <v>46173</v>
      </c>
      <c r="M15" s="10">
        <v>0.125</v>
      </c>
      <c r="N15" s="9">
        <v>46173</v>
      </c>
      <c r="O15" s="10">
        <v>0.25</v>
      </c>
      <c r="P15" s="11">
        <v>8000</v>
      </c>
      <c r="Q15" s="11"/>
      <c r="R15" s="8" t="s">
        <v>62</v>
      </c>
      <c r="S15" s="8" t="s">
        <v>66</v>
      </c>
      <c r="T15" s="12">
        <v>55764</v>
      </c>
      <c r="U15" s="14">
        <v>55764</v>
      </c>
      <c r="V15" s="12">
        <v>135000</v>
      </c>
      <c r="W15" s="13">
        <v>12150</v>
      </c>
      <c r="X15" s="13" t="s">
        <v>434</v>
      </c>
      <c r="Y15" s="8" t="s">
        <v>77</v>
      </c>
      <c r="Z15" s="71" t="s">
        <v>359</v>
      </c>
    </row>
    <row r="16" spans="1:26" ht="409.6" x14ac:dyDescent="0.3">
      <c r="A16" s="8">
        <v>11</v>
      </c>
      <c r="B16" s="8" t="s">
        <v>56</v>
      </c>
      <c r="C16" s="8" t="s">
        <v>78</v>
      </c>
      <c r="D16" s="8"/>
      <c r="E16" s="8" t="s">
        <v>79</v>
      </c>
      <c r="F16" s="8"/>
      <c r="G16" s="8" t="s">
        <v>59</v>
      </c>
      <c r="H16" s="8" t="s">
        <v>80</v>
      </c>
      <c r="I16" s="8" t="s">
        <v>81</v>
      </c>
      <c r="J16" s="8" t="s">
        <v>41</v>
      </c>
      <c r="K16" s="8">
        <v>25.49</v>
      </c>
      <c r="L16" s="9">
        <v>46173</v>
      </c>
      <c r="M16" s="10">
        <v>0.125</v>
      </c>
      <c r="N16" s="9">
        <v>46173</v>
      </c>
      <c r="O16" s="10">
        <v>0.25</v>
      </c>
      <c r="P16" s="11">
        <v>6500</v>
      </c>
      <c r="Q16" s="11"/>
      <c r="R16" s="8" t="s">
        <v>62</v>
      </c>
      <c r="S16" s="8" t="s">
        <v>29</v>
      </c>
      <c r="T16" s="12">
        <v>24491</v>
      </c>
      <c r="U16" s="12">
        <v>24491</v>
      </c>
      <c r="V16" s="12">
        <v>76470</v>
      </c>
      <c r="W16" s="13">
        <v>6882.3</v>
      </c>
      <c r="X16" s="13" t="s">
        <v>435</v>
      </c>
      <c r="Y16" s="8"/>
      <c r="Z16" s="71" t="s">
        <v>360</v>
      </c>
    </row>
    <row r="17" spans="1:26" ht="43.5" customHeight="1" x14ac:dyDescent="0.3">
      <c r="A17" s="8">
        <v>12</v>
      </c>
      <c r="B17" s="8" t="s">
        <v>56</v>
      </c>
      <c r="C17" s="8" t="s">
        <v>184</v>
      </c>
      <c r="D17" s="8" t="s">
        <v>185</v>
      </c>
      <c r="E17" s="8"/>
      <c r="F17" s="8"/>
      <c r="G17" s="8" t="s">
        <v>59</v>
      </c>
      <c r="H17" s="8" t="s">
        <v>186</v>
      </c>
      <c r="I17" s="8"/>
      <c r="J17" s="8" t="s">
        <v>41</v>
      </c>
      <c r="K17" s="8">
        <v>31</v>
      </c>
      <c r="L17" s="9">
        <v>46173</v>
      </c>
      <c r="M17" s="10">
        <v>4.1666666666666664E-2</v>
      </c>
      <c r="N17" s="9">
        <v>46173</v>
      </c>
      <c r="O17" s="10">
        <v>0.45833333333333331</v>
      </c>
      <c r="P17" s="11">
        <v>63000</v>
      </c>
      <c r="Q17" s="11"/>
      <c r="R17" s="8" t="s">
        <v>187</v>
      </c>
      <c r="S17" s="20" t="s">
        <v>66</v>
      </c>
      <c r="T17" s="12">
        <v>33268</v>
      </c>
      <c r="U17" s="14">
        <v>33268</v>
      </c>
      <c r="V17" s="12">
        <v>310000</v>
      </c>
      <c r="W17" s="13">
        <f>V17*W43/V43</f>
        <v>27900</v>
      </c>
      <c r="X17" s="13" t="s">
        <v>436</v>
      </c>
      <c r="Y17" s="8" t="s">
        <v>288</v>
      </c>
      <c r="Z17" s="71" t="s">
        <v>361</v>
      </c>
    </row>
    <row r="18" spans="1:26" ht="57" customHeight="1" x14ac:dyDescent="0.3">
      <c r="A18" s="8">
        <v>13</v>
      </c>
      <c r="B18" s="8" t="s">
        <v>56</v>
      </c>
      <c r="C18" s="8" t="s">
        <v>188</v>
      </c>
      <c r="D18" s="8" t="s">
        <v>189</v>
      </c>
      <c r="E18" s="8"/>
      <c r="F18" s="8"/>
      <c r="G18" s="8" t="s">
        <v>59</v>
      </c>
      <c r="H18" s="8" t="s">
        <v>190</v>
      </c>
      <c r="I18" s="8"/>
      <c r="J18" s="8" t="s">
        <v>41</v>
      </c>
      <c r="K18" s="8">
        <v>43</v>
      </c>
      <c r="L18" s="9">
        <v>46173</v>
      </c>
      <c r="M18" s="10">
        <v>4.1666666666666664E-2</v>
      </c>
      <c r="N18" s="9">
        <v>46173</v>
      </c>
      <c r="O18" s="10">
        <v>0.45833333333333331</v>
      </c>
      <c r="P18" s="11">
        <v>2100</v>
      </c>
      <c r="Q18" s="11"/>
      <c r="R18" s="8" t="s">
        <v>187</v>
      </c>
      <c r="S18" s="20" t="s">
        <v>66</v>
      </c>
      <c r="T18" s="12">
        <v>83738</v>
      </c>
      <c r="U18" s="14">
        <v>83738</v>
      </c>
      <c r="V18" s="12">
        <v>430000</v>
      </c>
      <c r="W18" s="13">
        <f>V18*W43/V43</f>
        <v>38700</v>
      </c>
      <c r="X18" s="13" t="s">
        <v>437</v>
      </c>
      <c r="Y18" s="8" t="s">
        <v>288</v>
      </c>
      <c r="Z18" s="71" t="s">
        <v>362</v>
      </c>
    </row>
    <row r="19" spans="1:26" ht="51" x14ac:dyDescent="0.3">
      <c r="A19" s="8">
        <v>14</v>
      </c>
      <c r="B19" s="8" t="s">
        <v>56</v>
      </c>
      <c r="C19" s="8" t="s">
        <v>191</v>
      </c>
      <c r="D19" s="8"/>
      <c r="E19" s="8"/>
      <c r="F19" s="8" t="s">
        <v>192</v>
      </c>
      <c r="G19" s="8" t="s">
        <v>59</v>
      </c>
      <c r="H19" s="8" t="s">
        <v>190</v>
      </c>
      <c r="I19" s="8"/>
      <c r="J19" s="8" t="s">
        <v>28</v>
      </c>
      <c r="K19" s="8">
        <v>2.2999999999999998</v>
      </c>
      <c r="L19" s="9">
        <v>46173</v>
      </c>
      <c r="M19" s="10">
        <v>4.1666666666666664E-2</v>
      </c>
      <c r="N19" s="9">
        <v>46173</v>
      </c>
      <c r="O19" s="10">
        <v>0.45833333333333331</v>
      </c>
      <c r="P19" s="11">
        <v>1100</v>
      </c>
      <c r="Q19" s="11"/>
      <c r="R19" s="8" t="s">
        <v>187</v>
      </c>
      <c r="S19" s="20" t="s">
        <v>66</v>
      </c>
      <c r="T19" s="12">
        <v>2617</v>
      </c>
      <c r="U19" s="14">
        <v>2617</v>
      </c>
      <c r="V19" s="12">
        <f>2300*10</f>
        <v>23000</v>
      </c>
      <c r="W19" s="13">
        <f>V19*W50/V50</f>
        <v>2070</v>
      </c>
      <c r="X19" s="13" t="s">
        <v>438</v>
      </c>
      <c r="Y19" s="8" t="s">
        <v>288</v>
      </c>
      <c r="Z19" s="71" t="s">
        <v>363</v>
      </c>
    </row>
    <row r="20" spans="1:26" ht="306" x14ac:dyDescent="0.3">
      <c r="A20" s="8">
        <v>15</v>
      </c>
      <c r="B20" s="8" t="s">
        <v>56</v>
      </c>
      <c r="C20" s="8" t="s">
        <v>317</v>
      </c>
      <c r="D20" s="8" t="s">
        <v>318</v>
      </c>
      <c r="E20" s="8"/>
      <c r="F20" s="8"/>
      <c r="G20" s="8"/>
      <c r="H20" s="8"/>
      <c r="I20" s="8" t="s">
        <v>318</v>
      </c>
      <c r="J20" s="8" t="s">
        <v>41</v>
      </c>
      <c r="K20" s="8">
        <v>65</v>
      </c>
      <c r="L20" s="9">
        <v>46173</v>
      </c>
      <c r="M20" s="10">
        <v>4.1666666666666664E-2</v>
      </c>
      <c r="N20" s="9">
        <v>46173</v>
      </c>
      <c r="O20" s="10">
        <v>0.45833333333333331</v>
      </c>
      <c r="P20" s="11">
        <v>57434</v>
      </c>
      <c r="Q20" s="11">
        <v>0</v>
      </c>
      <c r="R20" s="8" t="s">
        <v>319</v>
      </c>
      <c r="S20" s="20" t="s">
        <v>66</v>
      </c>
      <c r="T20" s="12">
        <v>29832</v>
      </c>
      <c r="U20" s="14">
        <v>11667</v>
      </c>
      <c r="V20" s="12">
        <v>123000</v>
      </c>
      <c r="W20" s="13">
        <v>11070</v>
      </c>
      <c r="X20" s="13" t="s">
        <v>436</v>
      </c>
      <c r="Y20" s="8" t="s">
        <v>288</v>
      </c>
      <c r="Z20" s="71" t="s">
        <v>361</v>
      </c>
    </row>
    <row r="21" spans="1:26" ht="142.80000000000001" x14ac:dyDescent="0.3">
      <c r="A21" s="8">
        <v>16</v>
      </c>
      <c r="B21" s="8" t="s">
        <v>82</v>
      </c>
      <c r="C21" s="18" t="s">
        <v>83</v>
      </c>
      <c r="D21" s="8"/>
      <c r="E21" s="8" t="s">
        <v>84</v>
      </c>
      <c r="F21" s="8"/>
      <c r="G21" s="8" t="s">
        <v>85</v>
      </c>
      <c r="H21" s="8" t="s">
        <v>86</v>
      </c>
      <c r="I21" s="8" t="s">
        <v>87</v>
      </c>
      <c r="J21" s="8" t="s">
        <v>41</v>
      </c>
      <c r="K21" s="8">
        <v>9.5</v>
      </c>
      <c r="L21" s="19">
        <v>46172</v>
      </c>
      <c r="M21" s="10">
        <v>0.125</v>
      </c>
      <c r="N21" s="19">
        <v>46172</v>
      </c>
      <c r="O21" s="10">
        <v>0.29166666666666669</v>
      </c>
      <c r="P21" s="11">
        <v>24162.48</v>
      </c>
      <c r="Q21" s="11">
        <v>0</v>
      </c>
      <c r="R21" s="8" t="s">
        <v>88</v>
      </c>
      <c r="S21" s="20" t="s">
        <v>29</v>
      </c>
      <c r="T21" s="12">
        <v>21407</v>
      </c>
      <c r="U21" s="14">
        <v>21407</v>
      </c>
      <c r="V21" s="12">
        <v>38000</v>
      </c>
      <c r="W21" s="13">
        <v>3420</v>
      </c>
      <c r="X21" s="13" t="s">
        <v>449</v>
      </c>
      <c r="Y21" s="8"/>
      <c r="Z21" s="71" t="s">
        <v>389</v>
      </c>
    </row>
    <row r="22" spans="1:26" ht="91.8" x14ac:dyDescent="0.3">
      <c r="A22" s="8">
        <v>17</v>
      </c>
      <c r="B22" s="8" t="s">
        <v>82</v>
      </c>
      <c r="C22" s="18" t="s">
        <v>89</v>
      </c>
      <c r="D22" s="8"/>
      <c r="E22" s="8" t="s">
        <v>90</v>
      </c>
      <c r="F22" s="8"/>
      <c r="G22" s="8" t="s">
        <v>85</v>
      </c>
      <c r="H22" s="8" t="s">
        <v>91</v>
      </c>
      <c r="I22" s="8" t="s">
        <v>92</v>
      </c>
      <c r="J22" s="8" t="s">
        <v>41</v>
      </c>
      <c r="K22" s="8">
        <v>6.5</v>
      </c>
      <c r="L22" s="19">
        <v>46173</v>
      </c>
      <c r="M22" s="10">
        <v>0.125</v>
      </c>
      <c r="N22" s="19">
        <v>46173</v>
      </c>
      <c r="O22" s="10">
        <v>0.25</v>
      </c>
      <c r="P22" s="11">
        <v>5445.85</v>
      </c>
      <c r="Q22" s="11">
        <v>0</v>
      </c>
      <c r="R22" s="8" t="s">
        <v>93</v>
      </c>
      <c r="S22" s="20" t="s">
        <v>29</v>
      </c>
      <c r="T22" s="12">
        <v>21995</v>
      </c>
      <c r="U22" s="14">
        <v>21995</v>
      </c>
      <c r="V22" s="12">
        <v>19500</v>
      </c>
      <c r="W22" s="13">
        <v>1755</v>
      </c>
      <c r="X22" s="13" t="s">
        <v>435</v>
      </c>
      <c r="Y22" s="8"/>
      <c r="Z22" s="71" t="s">
        <v>390</v>
      </c>
    </row>
    <row r="23" spans="1:26" ht="40.799999999999997" x14ac:dyDescent="0.3">
      <c r="A23" s="8">
        <v>18</v>
      </c>
      <c r="B23" s="8" t="s">
        <v>94</v>
      </c>
      <c r="C23" s="8" t="s">
        <v>95</v>
      </c>
      <c r="D23" s="8" t="s">
        <v>96</v>
      </c>
      <c r="E23" s="8"/>
      <c r="F23" s="8"/>
      <c r="G23" s="8" t="s">
        <v>97</v>
      </c>
      <c r="H23" s="8" t="s">
        <v>98</v>
      </c>
      <c r="I23" s="8" t="s">
        <v>66</v>
      </c>
      <c r="J23" s="8" t="s">
        <v>28</v>
      </c>
      <c r="K23" s="8">
        <v>17.145</v>
      </c>
      <c r="L23" s="9">
        <v>46172</v>
      </c>
      <c r="M23" s="10">
        <v>0.25</v>
      </c>
      <c r="N23" s="9">
        <v>46172</v>
      </c>
      <c r="O23" s="10">
        <v>0.375</v>
      </c>
      <c r="P23" s="11">
        <v>9886</v>
      </c>
      <c r="Q23" s="11">
        <v>0</v>
      </c>
      <c r="R23" s="8" t="s">
        <v>99</v>
      </c>
      <c r="S23" s="20" t="s">
        <v>66</v>
      </c>
      <c r="T23" s="12">
        <v>17145</v>
      </c>
      <c r="U23" s="14">
        <v>17145</v>
      </c>
      <c r="V23" s="12">
        <v>51435</v>
      </c>
      <c r="W23" s="13">
        <v>4629.1499999999996</v>
      </c>
      <c r="X23" s="13" t="s">
        <v>439</v>
      </c>
      <c r="Y23" s="8"/>
      <c r="Z23" s="71" t="s">
        <v>353</v>
      </c>
    </row>
    <row r="24" spans="1:26" ht="30.6" x14ac:dyDescent="0.3">
      <c r="A24" s="8">
        <v>19</v>
      </c>
      <c r="B24" s="8" t="s">
        <v>94</v>
      </c>
      <c r="C24" s="8" t="s">
        <v>244</v>
      </c>
      <c r="D24" s="8"/>
      <c r="E24" s="8" t="s">
        <v>245</v>
      </c>
      <c r="F24" s="8" t="s">
        <v>246</v>
      </c>
      <c r="G24" s="8" t="s">
        <v>97</v>
      </c>
      <c r="H24" s="8" t="s">
        <v>98</v>
      </c>
      <c r="I24" s="8" t="s">
        <v>247</v>
      </c>
      <c r="J24" s="8" t="s">
        <v>28</v>
      </c>
      <c r="K24" s="8">
        <v>10</v>
      </c>
      <c r="L24" s="9">
        <v>46173</v>
      </c>
      <c r="M24" s="10">
        <v>0.125</v>
      </c>
      <c r="N24" s="9">
        <v>46173</v>
      </c>
      <c r="O24" s="10">
        <v>0.25</v>
      </c>
      <c r="P24" s="11">
        <v>4480</v>
      </c>
      <c r="Q24" s="11">
        <v>0</v>
      </c>
      <c r="R24" s="8" t="s">
        <v>164</v>
      </c>
      <c r="S24" s="20" t="s">
        <v>29</v>
      </c>
      <c r="T24" s="12">
        <v>8819</v>
      </c>
      <c r="U24" s="14">
        <v>8819</v>
      </c>
      <c r="V24" s="12">
        <v>0</v>
      </c>
      <c r="W24" s="13">
        <v>0</v>
      </c>
      <c r="X24" s="13" t="s">
        <v>435</v>
      </c>
      <c r="Y24" s="8"/>
      <c r="Z24" s="71" t="s">
        <v>354</v>
      </c>
    </row>
    <row r="25" spans="1:26" ht="71.400000000000006" x14ac:dyDescent="0.3">
      <c r="A25" s="8">
        <v>20</v>
      </c>
      <c r="B25" s="8" t="s">
        <v>100</v>
      </c>
      <c r="C25" s="8" t="s">
        <v>101</v>
      </c>
      <c r="D25" s="8"/>
      <c r="E25" s="8" t="s">
        <v>102</v>
      </c>
      <c r="F25" s="8"/>
      <c r="G25" s="8" t="s">
        <v>45</v>
      </c>
      <c r="H25" s="8" t="s">
        <v>102</v>
      </c>
      <c r="I25" s="8" t="s">
        <v>103</v>
      </c>
      <c r="J25" s="8" t="s">
        <v>41</v>
      </c>
      <c r="K25" s="8">
        <v>8</v>
      </c>
      <c r="L25" s="9">
        <v>46173</v>
      </c>
      <c r="M25" s="10">
        <v>8.3333333333333329E-2</v>
      </c>
      <c r="N25" s="9">
        <v>46173</v>
      </c>
      <c r="O25" s="10">
        <v>0.20833333333333334</v>
      </c>
      <c r="P25" s="11">
        <v>4195.24</v>
      </c>
      <c r="Q25" s="11">
        <v>0</v>
      </c>
      <c r="R25" s="8" t="s">
        <v>104</v>
      </c>
      <c r="S25" s="20" t="s">
        <v>29</v>
      </c>
      <c r="T25" s="12">
        <v>9042</v>
      </c>
      <c r="U25" s="14">
        <v>9042</v>
      </c>
      <c r="V25" s="12">
        <v>24000</v>
      </c>
      <c r="W25" s="13">
        <v>2160</v>
      </c>
      <c r="X25" s="13" t="s">
        <v>435</v>
      </c>
      <c r="Y25" s="8"/>
      <c r="Z25" s="74" t="s">
        <v>343</v>
      </c>
    </row>
    <row r="26" spans="1:26" ht="91.8" x14ac:dyDescent="0.3">
      <c r="A26" s="8">
        <v>21</v>
      </c>
      <c r="B26" s="8" t="s">
        <v>100</v>
      </c>
      <c r="C26" s="8" t="s">
        <v>105</v>
      </c>
      <c r="D26" s="8"/>
      <c r="E26" s="8" t="s">
        <v>106</v>
      </c>
      <c r="F26" s="8"/>
      <c r="G26" s="8" t="s">
        <v>45</v>
      </c>
      <c r="H26" s="8" t="s">
        <v>107</v>
      </c>
      <c r="I26" s="8" t="s">
        <v>108</v>
      </c>
      <c r="J26" s="8" t="s">
        <v>41</v>
      </c>
      <c r="K26" s="8">
        <v>3</v>
      </c>
      <c r="L26" s="9">
        <v>46172</v>
      </c>
      <c r="M26" s="10">
        <v>8.3333333333333329E-2</v>
      </c>
      <c r="N26" s="9">
        <v>46172</v>
      </c>
      <c r="O26" s="10">
        <v>0.20833333333333334</v>
      </c>
      <c r="P26" s="11">
        <v>692.48</v>
      </c>
      <c r="Q26" s="11">
        <v>0</v>
      </c>
      <c r="R26" s="8"/>
      <c r="S26" s="20" t="s">
        <v>29</v>
      </c>
      <c r="T26" s="12">
        <v>7065</v>
      </c>
      <c r="U26" s="14">
        <v>7065</v>
      </c>
      <c r="V26" s="12">
        <v>9000</v>
      </c>
      <c r="W26" s="13">
        <v>810</v>
      </c>
      <c r="X26" s="13" t="s">
        <v>435</v>
      </c>
      <c r="Y26" s="8"/>
      <c r="Z26" s="74" t="s">
        <v>344</v>
      </c>
    </row>
    <row r="27" spans="1:26" ht="30.6" x14ac:dyDescent="0.3">
      <c r="A27" s="8">
        <v>22</v>
      </c>
      <c r="B27" s="8" t="s">
        <v>100</v>
      </c>
      <c r="C27" s="21" t="s">
        <v>109</v>
      </c>
      <c r="D27" s="8"/>
      <c r="E27" s="8" t="s">
        <v>110</v>
      </c>
      <c r="F27" s="8"/>
      <c r="G27" s="8" t="s">
        <v>45</v>
      </c>
      <c r="H27" s="8" t="s">
        <v>107</v>
      </c>
      <c r="I27" s="8" t="s">
        <v>111</v>
      </c>
      <c r="J27" s="8" t="s">
        <v>41</v>
      </c>
      <c r="K27" s="8">
        <v>2.5</v>
      </c>
      <c r="L27" s="9">
        <v>46172</v>
      </c>
      <c r="M27" s="10">
        <v>8.3333333333333329E-2</v>
      </c>
      <c r="N27" s="9">
        <v>46172</v>
      </c>
      <c r="O27" s="10">
        <v>0.20833333333333334</v>
      </c>
      <c r="P27" s="11">
        <v>3045.24</v>
      </c>
      <c r="Q27" s="11">
        <v>0</v>
      </c>
      <c r="R27" s="8" t="s">
        <v>112</v>
      </c>
      <c r="S27" s="20" t="s">
        <v>29</v>
      </c>
      <c r="T27" s="12">
        <v>217</v>
      </c>
      <c r="U27" s="14">
        <v>217</v>
      </c>
      <c r="V27" s="12">
        <v>7500</v>
      </c>
      <c r="W27" s="13">
        <v>675</v>
      </c>
      <c r="X27" s="13" t="s">
        <v>435</v>
      </c>
      <c r="Y27" s="8"/>
      <c r="Z27" s="74" t="s">
        <v>345</v>
      </c>
    </row>
    <row r="28" spans="1:26" ht="40.799999999999997" x14ac:dyDescent="0.3">
      <c r="A28" s="8">
        <v>23</v>
      </c>
      <c r="B28" s="8" t="s">
        <v>113</v>
      </c>
      <c r="C28" s="8" t="s">
        <v>114</v>
      </c>
      <c r="D28" s="8" t="s">
        <v>115</v>
      </c>
      <c r="E28" s="8"/>
      <c r="F28" s="8"/>
      <c r="G28" s="8" t="s">
        <v>116</v>
      </c>
      <c r="H28" s="8" t="s">
        <v>117</v>
      </c>
      <c r="I28" s="8" t="s">
        <v>66</v>
      </c>
      <c r="J28" s="8" t="s">
        <v>28</v>
      </c>
      <c r="K28" s="8">
        <v>6.03</v>
      </c>
      <c r="L28" s="9">
        <v>46172</v>
      </c>
      <c r="M28" s="10">
        <v>0.125</v>
      </c>
      <c r="N28" s="9">
        <v>46172</v>
      </c>
      <c r="O28" s="10">
        <v>0.25</v>
      </c>
      <c r="P28" s="11">
        <v>600</v>
      </c>
      <c r="Q28" s="11">
        <v>0</v>
      </c>
      <c r="R28" s="8" t="s">
        <v>118</v>
      </c>
      <c r="S28" s="20" t="s">
        <v>66</v>
      </c>
      <c r="T28" s="12">
        <v>15946</v>
      </c>
      <c r="U28" s="14">
        <v>15946</v>
      </c>
      <c r="V28" s="12">
        <v>18090</v>
      </c>
      <c r="W28" s="13">
        <v>1628.1</v>
      </c>
      <c r="X28" s="13" t="s">
        <v>462</v>
      </c>
      <c r="Y28" s="8"/>
      <c r="Z28" s="71" t="s">
        <v>418</v>
      </c>
    </row>
    <row r="29" spans="1:26" ht="102" x14ac:dyDescent="0.3">
      <c r="A29" s="8">
        <v>24</v>
      </c>
      <c r="B29" s="8" t="s">
        <v>113</v>
      </c>
      <c r="C29" s="8" t="s">
        <v>119</v>
      </c>
      <c r="D29" s="8"/>
      <c r="E29" s="8"/>
      <c r="F29" s="8" t="s">
        <v>120</v>
      </c>
      <c r="G29" s="8" t="s">
        <v>121</v>
      </c>
      <c r="H29" s="8" t="s">
        <v>122</v>
      </c>
      <c r="I29" s="8" t="s">
        <v>123</v>
      </c>
      <c r="J29" s="8" t="s">
        <v>41</v>
      </c>
      <c r="K29" s="8">
        <v>2.19</v>
      </c>
      <c r="L29" s="9">
        <v>46172</v>
      </c>
      <c r="M29" s="10">
        <v>0.125</v>
      </c>
      <c r="N29" s="9">
        <v>46172</v>
      </c>
      <c r="O29" s="10">
        <v>0.25</v>
      </c>
      <c r="P29" s="11">
        <v>900</v>
      </c>
      <c r="Q29" s="11">
        <v>0</v>
      </c>
      <c r="R29" s="8"/>
      <c r="S29" s="20" t="s">
        <v>4</v>
      </c>
      <c r="T29" s="12">
        <v>5862</v>
      </c>
      <c r="U29" s="14">
        <v>5862</v>
      </c>
      <c r="V29" s="12">
        <v>6570</v>
      </c>
      <c r="W29" s="13">
        <v>591.29999999999995</v>
      </c>
      <c r="X29" s="13" t="s">
        <v>438</v>
      </c>
      <c r="Y29" s="8"/>
      <c r="Z29" s="71" t="s">
        <v>419</v>
      </c>
    </row>
    <row r="30" spans="1:26" ht="51" x14ac:dyDescent="0.3">
      <c r="A30" s="22">
        <v>25</v>
      </c>
      <c r="B30" s="22" t="s">
        <v>35</v>
      </c>
      <c r="C30" s="22" t="s">
        <v>48</v>
      </c>
      <c r="D30" s="22"/>
      <c r="E30" s="22"/>
      <c r="F30" s="22" t="s">
        <v>128</v>
      </c>
      <c r="G30" s="22" t="s">
        <v>38</v>
      </c>
      <c r="H30" s="22" t="s">
        <v>128</v>
      </c>
      <c r="I30" s="22" t="s">
        <v>129</v>
      </c>
      <c r="J30" s="22" t="s">
        <v>28</v>
      </c>
      <c r="K30" s="22">
        <v>4</v>
      </c>
      <c r="L30" s="23">
        <v>46179</v>
      </c>
      <c r="M30" s="24">
        <v>0.29166666666666669</v>
      </c>
      <c r="N30" s="23">
        <v>46179</v>
      </c>
      <c r="O30" s="24">
        <v>0.41666666666666669</v>
      </c>
      <c r="P30" s="25">
        <v>9172.9500000000007</v>
      </c>
      <c r="Q30" s="25">
        <v>0</v>
      </c>
      <c r="R30" s="22" t="s">
        <v>130</v>
      </c>
      <c r="S30" s="22" t="s">
        <v>4</v>
      </c>
      <c r="T30" s="26">
        <v>3429</v>
      </c>
      <c r="U30" s="28">
        <v>3429</v>
      </c>
      <c r="V30" s="26">
        <v>12000</v>
      </c>
      <c r="W30" s="27">
        <v>1080</v>
      </c>
      <c r="X30" s="27" t="s">
        <v>428</v>
      </c>
      <c r="Y30" s="22"/>
      <c r="Z30" s="71" t="s">
        <v>378</v>
      </c>
    </row>
    <row r="31" spans="1:26" ht="40.799999999999997" x14ac:dyDescent="0.3">
      <c r="A31" s="22">
        <v>26</v>
      </c>
      <c r="B31" s="22" t="s">
        <v>35</v>
      </c>
      <c r="C31" s="22" t="s">
        <v>48</v>
      </c>
      <c r="D31" s="22"/>
      <c r="E31" s="22"/>
      <c r="F31" s="22" t="s">
        <v>131</v>
      </c>
      <c r="G31" s="22" t="s">
        <v>38</v>
      </c>
      <c r="H31" s="22" t="s">
        <v>132</v>
      </c>
      <c r="I31" s="22" t="s">
        <v>133</v>
      </c>
      <c r="J31" s="22" t="s">
        <v>28</v>
      </c>
      <c r="K31" s="22">
        <v>1.8</v>
      </c>
      <c r="L31" s="23">
        <v>46179</v>
      </c>
      <c r="M31" s="24">
        <v>0.29166666666666669</v>
      </c>
      <c r="N31" s="23">
        <v>46179</v>
      </c>
      <c r="O31" s="24">
        <v>0.41666666666666669</v>
      </c>
      <c r="P31" s="25">
        <v>7282.12</v>
      </c>
      <c r="Q31" s="25">
        <v>0</v>
      </c>
      <c r="R31" s="22" t="s">
        <v>134</v>
      </c>
      <c r="S31" s="22" t="s">
        <v>4</v>
      </c>
      <c r="T31" s="26">
        <v>5556</v>
      </c>
      <c r="U31" s="28">
        <v>5556</v>
      </c>
      <c r="V31" s="26">
        <v>5400</v>
      </c>
      <c r="W31" s="27">
        <v>486</v>
      </c>
      <c r="X31" s="27" t="s">
        <v>428</v>
      </c>
      <c r="Y31" s="22"/>
      <c r="Z31" s="71" t="s">
        <v>379</v>
      </c>
    </row>
    <row r="32" spans="1:26" ht="30.6" x14ac:dyDescent="0.3">
      <c r="A32" s="22">
        <v>27</v>
      </c>
      <c r="B32" s="22" t="s">
        <v>35</v>
      </c>
      <c r="C32" s="22" t="s">
        <v>48</v>
      </c>
      <c r="D32" s="22"/>
      <c r="E32" s="22"/>
      <c r="F32" s="22" t="s">
        <v>135</v>
      </c>
      <c r="G32" s="22" t="s">
        <v>38</v>
      </c>
      <c r="H32" s="22" t="s">
        <v>136</v>
      </c>
      <c r="I32" s="22" t="s">
        <v>137</v>
      </c>
      <c r="J32" s="22" t="s">
        <v>28</v>
      </c>
      <c r="K32" s="22">
        <v>2</v>
      </c>
      <c r="L32" s="23">
        <v>46180</v>
      </c>
      <c r="M32" s="24">
        <v>0.29166666666666669</v>
      </c>
      <c r="N32" s="23">
        <v>46180</v>
      </c>
      <c r="O32" s="24">
        <v>0.41666666666666669</v>
      </c>
      <c r="P32" s="25">
        <v>6002.05</v>
      </c>
      <c r="Q32" s="25">
        <v>0</v>
      </c>
      <c r="R32" s="22" t="s">
        <v>138</v>
      </c>
      <c r="S32" s="22" t="s">
        <v>4</v>
      </c>
      <c r="T32" s="26">
        <v>3353</v>
      </c>
      <c r="U32" s="28">
        <v>3353</v>
      </c>
      <c r="V32" s="26">
        <v>6000</v>
      </c>
      <c r="W32" s="27">
        <v>540</v>
      </c>
      <c r="X32" s="27" t="s">
        <v>428</v>
      </c>
      <c r="Y32" s="22"/>
      <c r="Z32" s="71" t="s">
        <v>380</v>
      </c>
    </row>
    <row r="33" spans="1:26" ht="51" x14ac:dyDescent="0.3">
      <c r="A33" s="22">
        <v>28</v>
      </c>
      <c r="B33" s="22" t="s">
        <v>35</v>
      </c>
      <c r="C33" s="22" t="s">
        <v>139</v>
      </c>
      <c r="D33" s="22"/>
      <c r="E33" s="22"/>
      <c r="F33" s="22" t="s">
        <v>140</v>
      </c>
      <c r="G33" s="22" t="s">
        <v>38</v>
      </c>
      <c r="H33" s="22" t="s">
        <v>140</v>
      </c>
      <c r="I33" s="22" t="s">
        <v>141</v>
      </c>
      <c r="J33" s="22" t="s">
        <v>28</v>
      </c>
      <c r="K33" s="22">
        <v>4.5</v>
      </c>
      <c r="L33" s="23">
        <v>46180</v>
      </c>
      <c r="M33" s="24">
        <v>0.29166666666666669</v>
      </c>
      <c r="N33" s="23">
        <v>46180</v>
      </c>
      <c r="O33" s="24">
        <v>0.41666666666666669</v>
      </c>
      <c r="P33" s="25">
        <v>10344.65</v>
      </c>
      <c r="Q33" s="25">
        <v>0</v>
      </c>
      <c r="R33" s="22" t="s">
        <v>130</v>
      </c>
      <c r="S33" s="22" t="s">
        <v>4</v>
      </c>
      <c r="T33" s="26">
        <v>2335</v>
      </c>
      <c r="U33" s="28">
        <v>2335</v>
      </c>
      <c r="V33" s="26">
        <v>13500</v>
      </c>
      <c r="W33" s="27">
        <v>1215</v>
      </c>
      <c r="X33" s="27" t="s">
        <v>440</v>
      </c>
      <c r="Y33" s="22"/>
      <c r="Z33" s="71" t="s">
        <v>381</v>
      </c>
    </row>
    <row r="34" spans="1:26" ht="30.6" x14ac:dyDescent="0.3">
      <c r="A34" s="22">
        <v>29</v>
      </c>
      <c r="B34" s="22" t="s">
        <v>35</v>
      </c>
      <c r="C34" s="22" t="s">
        <v>272</v>
      </c>
      <c r="D34" s="22"/>
      <c r="E34" s="22" t="s">
        <v>273</v>
      </c>
      <c r="F34" s="22"/>
      <c r="G34" s="22" t="s">
        <v>38</v>
      </c>
      <c r="H34" s="22" t="s">
        <v>274</v>
      </c>
      <c r="I34" s="22" t="s">
        <v>275</v>
      </c>
      <c r="J34" s="22" t="s">
        <v>28</v>
      </c>
      <c r="K34" s="22">
        <v>2</v>
      </c>
      <c r="L34" s="23">
        <v>46179</v>
      </c>
      <c r="M34" s="24">
        <v>0.25</v>
      </c>
      <c r="N34" s="23">
        <v>46179</v>
      </c>
      <c r="O34" s="24">
        <v>0.41666666666666669</v>
      </c>
      <c r="P34" s="25">
        <v>1830.76</v>
      </c>
      <c r="Q34" s="25">
        <v>0</v>
      </c>
      <c r="R34" s="22" t="s">
        <v>276</v>
      </c>
      <c r="S34" s="22" t="s">
        <v>29</v>
      </c>
      <c r="T34" s="26">
        <v>4763</v>
      </c>
      <c r="U34" s="28">
        <v>4763</v>
      </c>
      <c r="V34" s="26">
        <v>8000</v>
      </c>
      <c r="W34" s="27">
        <v>720</v>
      </c>
      <c r="X34" s="27" t="s">
        <v>441</v>
      </c>
      <c r="Y34" s="22" t="s">
        <v>288</v>
      </c>
      <c r="Z34" s="71" t="s">
        <v>382</v>
      </c>
    </row>
    <row r="35" spans="1:26" ht="30.6" x14ac:dyDescent="0.3">
      <c r="A35" s="22">
        <v>30</v>
      </c>
      <c r="B35" s="22" t="s">
        <v>35</v>
      </c>
      <c r="C35" s="22" t="s">
        <v>272</v>
      </c>
      <c r="D35" s="22"/>
      <c r="E35" s="22" t="s">
        <v>274</v>
      </c>
      <c r="F35" s="22"/>
      <c r="G35" s="22" t="s">
        <v>38</v>
      </c>
      <c r="H35" s="22" t="s">
        <v>274</v>
      </c>
      <c r="I35" s="22" t="s">
        <v>277</v>
      </c>
      <c r="J35" s="22" t="s">
        <v>28</v>
      </c>
      <c r="K35" s="22">
        <v>14</v>
      </c>
      <c r="L35" s="23">
        <v>46179</v>
      </c>
      <c r="M35" s="24">
        <v>0.25</v>
      </c>
      <c r="N35" s="23">
        <v>46179</v>
      </c>
      <c r="O35" s="24">
        <v>0.41666666666666669</v>
      </c>
      <c r="P35" s="25">
        <v>1830.76</v>
      </c>
      <c r="Q35" s="25">
        <v>0</v>
      </c>
      <c r="R35" s="22" t="s">
        <v>276</v>
      </c>
      <c r="S35" s="22" t="s">
        <v>29</v>
      </c>
      <c r="T35" s="26">
        <v>23387</v>
      </c>
      <c r="U35" s="28">
        <v>23387</v>
      </c>
      <c r="V35" s="26">
        <v>56000</v>
      </c>
      <c r="W35" s="27">
        <v>5040</v>
      </c>
      <c r="X35" s="27" t="s">
        <v>441</v>
      </c>
      <c r="Y35" s="22" t="s">
        <v>288</v>
      </c>
      <c r="Z35" s="71" t="s">
        <v>382</v>
      </c>
    </row>
    <row r="36" spans="1:26" ht="30.6" x14ac:dyDescent="0.3">
      <c r="A36" s="22">
        <v>31</v>
      </c>
      <c r="B36" s="22" t="s">
        <v>35</v>
      </c>
      <c r="C36" s="22" t="s">
        <v>272</v>
      </c>
      <c r="D36" s="22"/>
      <c r="E36" s="22" t="s">
        <v>132</v>
      </c>
      <c r="F36" s="22"/>
      <c r="G36" s="22" t="s">
        <v>38</v>
      </c>
      <c r="H36" s="22" t="s">
        <v>278</v>
      </c>
      <c r="I36" s="22" t="s">
        <v>279</v>
      </c>
      <c r="J36" s="22" t="s">
        <v>28</v>
      </c>
      <c r="K36" s="22">
        <v>14</v>
      </c>
      <c r="L36" s="23">
        <v>46179</v>
      </c>
      <c r="M36" s="24">
        <v>0.25</v>
      </c>
      <c r="N36" s="23">
        <v>46179</v>
      </c>
      <c r="O36" s="24">
        <v>0.41666666666666669</v>
      </c>
      <c r="P36" s="25">
        <v>1830.76</v>
      </c>
      <c r="Q36" s="25">
        <v>0</v>
      </c>
      <c r="R36" s="22" t="s">
        <v>276</v>
      </c>
      <c r="S36" s="22" t="s">
        <v>29</v>
      </c>
      <c r="T36" s="26">
        <v>14799</v>
      </c>
      <c r="U36" s="28">
        <v>14799</v>
      </c>
      <c r="V36" s="26">
        <v>56000</v>
      </c>
      <c r="W36" s="27">
        <v>5040</v>
      </c>
      <c r="X36" s="27" t="s">
        <v>441</v>
      </c>
      <c r="Y36" s="22" t="s">
        <v>288</v>
      </c>
      <c r="Z36" s="71" t="s">
        <v>383</v>
      </c>
    </row>
    <row r="37" spans="1:26" ht="30.6" x14ac:dyDescent="0.3">
      <c r="A37" s="22">
        <v>32</v>
      </c>
      <c r="B37" s="22" t="s">
        <v>35</v>
      </c>
      <c r="C37" s="22" t="s">
        <v>272</v>
      </c>
      <c r="D37" s="22"/>
      <c r="E37" s="22" t="s">
        <v>280</v>
      </c>
      <c r="F37" s="22"/>
      <c r="G37" s="22" t="s">
        <v>38</v>
      </c>
      <c r="H37" s="22" t="s">
        <v>280</v>
      </c>
      <c r="I37" s="22" t="s">
        <v>281</v>
      </c>
      <c r="J37" s="22" t="s">
        <v>28</v>
      </c>
      <c r="K37" s="22">
        <v>14</v>
      </c>
      <c r="L37" s="23">
        <v>46179</v>
      </c>
      <c r="M37" s="24">
        <v>0.25</v>
      </c>
      <c r="N37" s="23">
        <v>46179</v>
      </c>
      <c r="O37" s="24">
        <v>0.41666666666666669</v>
      </c>
      <c r="P37" s="25">
        <v>1830.76</v>
      </c>
      <c r="Q37" s="25">
        <v>0</v>
      </c>
      <c r="R37" s="22" t="s">
        <v>276</v>
      </c>
      <c r="S37" s="22" t="s">
        <v>29</v>
      </c>
      <c r="T37" s="26">
        <v>18838</v>
      </c>
      <c r="U37" s="28">
        <v>18838</v>
      </c>
      <c r="V37" s="26">
        <v>56000</v>
      </c>
      <c r="W37" s="27">
        <v>5040</v>
      </c>
      <c r="X37" s="27" t="s">
        <v>441</v>
      </c>
      <c r="Y37" s="22" t="s">
        <v>288</v>
      </c>
      <c r="Z37" s="71" t="s">
        <v>384</v>
      </c>
    </row>
    <row r="38" spans="1:26" ht="30.6" x14ac:dyDescent="0.3">
      <c r="A38" s="22">
        <v>33</v>
      </c>
      <c r="B38" s="22" t="s">
        <v>35</v>
      </c>
      <c r="C38" s="22" t="s">
        <v>272</v>
      </c>
      <c r="D38" s="22"/>
      <c r="E38" s="22" t="s">
        <v>282</v>
      </c>
      <c r="F38" s="22"/>
      <c r="G38" s="22" t="s">
        <v>38</v>
      </c>
      <c r="H38" s="22" t="s">
        <v>283</v>
      </c>
      <c r="I38" s="22" t="s">
        <v>284</v>
      </c>
      <c r="J38" s="22" t="s">
        <v>28</v>
      </c>
      <c r="K38" s="22">
        <v>3</v>
      </c>
      <c r="L38" s="23">
        <v>46179</v>
      </c>
      <c r="M38" s="24">
        <v>0.25</v>
      </c>
      <c r="N38" s="23">
        <v>46179</v>
      </c>
      <c r="O38" s="24">
        <v>0.41666666666666669</v>
      </c>
      <c r="P38" s="25">
        <v>1830.76</v>
      </c>
      <c r="Q38" s="25">
        <v>0</v>
      </c>
      <c r="R38" s="22" t="s">
        <v>276</v>
      </c>
      <c r="S38" s="22" t="s">
        <v>29</v>
      </c>
      <c r="T38" s="26">
        <v>9605</v>
      </c>
      <c r="U38" s="28">
        <v>9605</v>
      </c>
      <c r="V38" s="26">
        <v>12000</v>
      </c>
      <c r="W38" s="27">
        <v>1080</v>
      </c>
      <c r="X38" s="27" t="s">
        <v>441</v>
      </c>
      <c r="Y38" s="22" t="s">
        <v>288</v>
      </c>
      <c r="Z38" s="71" t="s">
        <v>385</v>
      </c>
    </row>
    <row r="39" spans="1:26" ht="40.799999999999997" x14ac:dyDescent="0.3">
      <c r="A39" s="22">
        <v>34</v>
      </c>
      <c r="B39" s="22" t="s">
        <v>35</v>
      </c>
      <c r="C39" s="22" t="s">
        <v>272</v>
      </c>
      <c r="D39" s="22"/>
      <c r="E39" s="22" t="s">
        <v>285</v>
      </c>
      <c r="F39" s="22"/>
      <c r="G39" s="22" t="s">
        <v>38</v>
      </c>
      <c r="H39" s="22" t="s">
        <v>286</v>
      </c>
      <c r="I39" s="22" t="s">
        <v>287</v>
      </c>
      <c r="J39" s="22" t="s">
        <v>28</v>
      </c>
      <c r="K39" s="22">
        <v>25</v>
      </c>
      <c r="L39" s="23">
        <v>46179</v>
      </c>
      <c r="M39" s="24">
        <v>0.25</v>
      </c>
      <c r="N39" s="23">
        <v>46179</v>
      </c>
      <c r="O39" s="24">
        <v>0.41666666666666669</v>
      </c>
      <c r="P39" s="25">
        <v>1830.76</v>
      </c>
      <c r="Q39" s="25">
        <v>0</v>
      </c>
      <c r="R39" s="22" t="s">
        <v>276</v>
      </c>
      <c r="S39" s="22" t="s">
        <v>29</v>
      </c>
      <c r="T39" s="26">
        <v>29362</v>
      </c>
      <c r="U39" s="28">
        <v>29362</v>
      </c>
      <c r="V39" s="26">
        <v>100000</v>
      </c>
      <c r="W39" s="27">
        <v>9000</v>
      </c>
      <c r="X39" s="27" t="s">
        <v>441</v>
      </c>
      <c r="Y39" s="22" t="s">
        <v>288</v>
      </c>
      <c r="Z39" s="71" t="s">
        <v>386</v>
      </c>
    </row>
    <row r="40" spans="1:26" ht="91.8" x14ac:dyDescent="0.3">
      <c r="A40" s="22">
        <v>35</v>
      </c>
      <c r="B40" s="22" t="s">
        <v>142</v>
      </c>
      <c r="C40" s="22" t="s">
        <v>143</v>
      </c>
      <c r="D40" s="22"/>
      <c r="E40" s="22" t="s">
        <v>144</v>
      </c>
      <c r="F40" s="22"/>
      <c r="G40" s="22" t="s">
        <v>145</v>
      </c>
      <c r="H40" s="22" t="s">
        <v>146</v>
      </c>
      <c r="I40" s="22" t="s">
        <v>147</v>
      </c>
      <c r="J40" s="22" t="s">
        <v>28</v>
      </c>
      <c r="K40" s="22">
        <v>2.54</v>
      </c>
      <c r="L40" s="23">
        <v>46179</v>
      </c>
      <c r="M40" s="24">
        <v>0.125</v>
      </c>
      <c r="N40" s="23">
        <v>46179</v>
      </c>
      <c r="O40" s="24">
        <v>0.25</v>
      </c>
      <c r="P40" s="25">
        <v>18426.349999999999</v>
      </c>
      <c r="Q40" s="25">
        <v>0</v>
      </c>
      <c r="R40" s="22" t="s">
        <v>148</v>
      </c>
      <c r="S40" s="22" t="s">
        <v>29</v>
      </c>
      <c r="T40" s="26">
        <v>5442</v>
      </c>
      <c r="U40" s="28">
        <v>5442</v>
      </c>
      <c r="V40" s="26">
        <v>7620</v>
      </c>
      <c r="W40" s="27">
        <v>685.8</v>
      </c>
      <c r="X40" s="27" t="s">
        <v>442</v>
      </c>
      <c r="Y40" s="22"/>
      <c r="Z40" s="74" t="s">
        <v>351</v>
      </c>
    </row>
    <row r="41" spans="1:26" ht="214.2" x14ac:dyDescent="0.3">
      <c r="A41" s="22">
        <v>36</v>
      </c>
      <c r="B41" s="22" t="s">
        <v>142</v>
      </c>
      <c r="C41" s="22" t="s">
        <v>149</v>
      </c>
      <c r="D41" s="22" t="s">
        <v>150</v>
      </c>
      <c r="E41" s="22"/>
      <c r="F41" s="22"/>
      <c r="G41" s="22" t="s">
        <v>145</v>
      </c>
      <c r="H41" s="22" t="s">
        <v>151</v>
      </c>
      <c r="I41" s="22" t="s">
        <v>66</v>
      </c>
      <c r="J41" s="22" t="s">
        <v>28</v>
      </c>
      <c r="K41" s="22">
        <v>19.850000000000001</v>
      </c>
      <c r="L41" s="23">
        <v>46180</v>
      </c>
      <c r="M41" s="24">
        <v>0.125</v>
      </c>
      <c r="N41" s="23">
        <v>46180</v>
      </c>
      <c r="O41" s="24">
        <v>0.25</v>
      </c>
      <c r="P41" s="25">
        <v>4000</v>
      </c>
      <c r="Q41" s="29">
        <v>0</v>
      </c>
      <c r="R41" s="22" t="s">
        <v>148</v>
      </c>
      <c r="S41" s="22" t="s">
        <v>66</v>
      </c>
      <c r="T41" s="26">
        <v>26127</v>
      </c>
      <c r="U41" s="28">
        <v>26127</v>
      </c>
      <c r="V41" s="26">
        <v>59550</v>
      </c>
      <c r="W41" s="27">
        <v>5359.5</v>
      </c>
      <c r="X41" s="27" t="s">
        <v>443</v>
      </c>
      <c r="Y41" s="22"/>
      <c r="Z41" s="71" t="s">
        <v>352</v>
      </c>
    </row>
    <row r="42" spans="1:26" ht="409.6" x14ac:dyDescent="0.3">
      <c r="A42" s="22">
        <v>37</v>
      </c>
      <c r="B42" s="22" t="s">
        <v>56</v>
      </c>
      <c r="C42" s="22" t="s">
        <v>152</v>
      </c>
      <c r="D42" s="22"/>
      <c r="E42" s="22" t="s">
        <v>58</v>
      </c>
      <c r="F42" s="22"/>
      <c r="G42" s="22" t="s">
        <v>59</v>
      </c>
      <c r="H42" s="22" t="s">
        <v>60</v>
      </c>
      <c r="I42" s="22" t="s">
        <v>61</v>
      </c>
      <c r="J42" s="22" t="s">
        <v>41</v>
      </c>
      <c r="K42" s="22">
        <v>7.5</v>
      </c>
      <c r="L42" s="30">
        <v>46179</v>
      </c>
      <c r="M42" s="24">
        <v>0.125</v>
      </c>
      <c r="N42" s="30">
        <v>46179</v>
      </c>
      <c r="O42" s="24">
        <v>0.25</v>
      </c>
      <c r="P42" s="25">
        <v>1500</v>
      </c>
      <c r="Q42" s="25"/>
      <c r="R42" s="22" t="s">
        <v>62</v>
      </c>
      <c r="S42" s="22" t="s">
        <v>29</v>
      </c>
      <c r="T42" s="31">
        <v>13379</v>
      </c>
      <c r="U42" s="32">
        <v>13379</v>
      </c>
      <c r="V42" s="31">
        <v>22500</v>
      </c>
      <c r="W42" s="27">
        <v>2025</v>
      </c>
      <c r="X42" s="27" t="s">
        <v>444</v>
      </c>
      <c r="Y42" s="22"/>
      <c r="Z42" s="71" t="s">
        <v>365</v>
      </c>
    </row>
    <row r="43" spans="1:26" ht="91.8" x14ac:dyDescent="0.3">
      <c r="A43" s="22">
        <v>38</v>
      </c>
      <c r="B43" s="22" t="s">
        <v>56</v>
      </c>
      <c r="C43" s="22" t="s">
        <v>153</v>
      </c>
      <c r="D43" s="22" t="s">
        <v>154</v>
      </c>
      <c r="E43" s="22"/>
      <c r="F43" s="22"/>
      <c r="G43" s="22" t="s">
        <v>59</v>
      </c>
      <c r="H43" s="22" t="s">
        <v>80</v>
      </c>
      <c r="I43" s="22"/>
      <c r="J43" s="22" t="s">
        <v>67</v>
      </c>
      <c r="K43" s="22">
        <v>220</v>
      </c>
      <c r="L43" s="23">
        <v>46180</v>
      </c>
      <c r="M43" s="24">
        <v>0.125</v>
      </c>
      <c r="N43" s="23">
        <v>46180</v>
      </c>
      <c r="O43" s="24">
        <v>0.25</v>
      </c>
      <c r="P43" s="25">
        <v>6800</v>
      </c>
      <c r="Q43" s="25"/>
      <c r="R43" s="22" t="s">
        <v>62</v>
      </c>
      <c r="S43" s="22" t="s">
        <v>66</v>
      </c>
      <c r="T43" s="26">
        <v>41887</v>
      </c>
      <c r="U43" s="28">
        <v>41887</v>
      </c>
      <c r="V43" s="26">
        <v>660000</v>
      </c>
      <c r="W43" s="27">
        <v>59400</v>
      </c>
      <c r="X43" s="27" t="s">
        <v>445</v>
      </c>
      <c r="Y43" s="22"/>
      <c r="Z43" s="71" t="s">
        <v>366</v>
      </c>
    </row>
    <row r="44" spans="1:26" ht="40.5" customHeight="1" x14ac:dyDescent="0.3">
      <c r="A44" s="22">
        <v>39</v>
      </c>
      <c r="B44" s="22" t="s">
        <v>56</v>
      </c>
      <c r="C44" s="22" t="s">
        <v>299</v>
      </c>
      <c r="D44" s="22"/>
      <c r="E44" s="22" t="s">
        <v>300</v>
      </c>
      <c r="F44" s="22" t="s">
        <v>300</v>
      </c>
      <c r="G44" s="22"/>
      <c r="H44" s="22"/>
      <c r="I44" s="22" t="s">
        <v>301</v>
      </c>
      <c r="J44" s="22" t="s">
        <v>28</v>
      </c>
      <c r="K44" s="22">
        <v>3</v>
      </c>
      <c r="L44" s="23">
        <v>46179</v>
      </c>
      <c r="M44" s="24">
        <v>0</v>
      </c>
      <c r="N44" s="23">
        <v>46179</v>
      </c>
      <c r="O44" s="24">
        <v>0.125</v>
      </c>
      <c r="P44" s="25">
        <v>1350</v>
      </c>
      <c r="Q44" s="25">
        <v>0</v>
      </c>
      <c r="R44" s="22" t="s">
        <v>62</v>
      </c>
      <c r="S44" s="22" t="s">
        <v>4</v>
      </c>
      <c r="T44" s="26">
        <v>6880</v>
      </c>
      <c r="U44" s="28">
        <v>6880</v>
      </c>
      <c r="V44" s="26">
        <v>9000</v>
      </c>
      <c r="W44" s="27">
        <v>810</v>
      </c>
      <c r="X44" s="27" t="s">
        <v>428</v>
      </c>
      <c r="Y44" s="22" t="s">
        <v>288</v>
      </c>
      <c r="Z44" s="71" t="s">
        <v>367</v>
      </c>
    </row>
    <row r="45" spans="1:26" ht="132.6" x14ac:dyDescent="0.3">
      <c r="A45" s="22">
        <v>40</v>
      </c>
      <c r="B45" s="22" t="s">
        <v>56</v>
      </c>
      <c r="C45" s="22" t="s">
        <v>302</v>
      </c>
      <c r="D45" s="22"/>
      <c r="E45" s="22" t="s">
        <v>303</v>
      </c>
      <c r="F45" s="22" t="s">
        <v>303</v>
      </c>
      <c r="G45" s="22"/>
      <c r="H45" s="22"/>
      <c r="I45" s="22" t="s">
        <v>304</v>
      </c>
      <c r="J45" s="22" t="s">
        <v>251</v>
      </c>
      <c r="K45" s="22">
        <v>2</v>
      </c>
      <c r="L45" s="23">
        <v>46179</v>
      </c>
      <c r="M45" s="24">
        <v>0</v>
      </c>
      <c r="N45" s="23">
        <v>46179</v>
      </c>
      <c r="O45" s="24">
        <v>0.125</v>
      </c>
      <c r="P45" s="25">
        <v>4500</v>
      </c>
      <c r="Q45" s="25">
        <v>0</v>
      </c>
      <c r="R45" s="22" t="s">
        <v>62</v>
      </c>
      <c r="S45" s="22" t="s">
        <v>4</v>
      </c>
      <c r="T45" s="26">
        <v>4244</v>
      </c>
      <c r="U45" s="28">
        <v>4244</v>
      </c>
      <c r="V45" s="26">
        <v>6000</v>
      </c>
      <c r="W45" s="27">
        <v>540</v>
      </c>
      <c r="X45" s="27" t="s">
        <v>446</v>
      </c>
      <c r="Y45" s="22" t="s">
        <v>288</v>
      </c>
      <c r="Z45" s="71" t="s">
        <v>368</v>
      </c>
    </row>
    <row r="46" spans="1:26" ht="38.25" customHeight="1" x14ac:dyDescent="0.3">
      <c r="A46" s="22">
        <v>41</v>
      </c>
      <c r="B46" s="22" t="s">
        <v>56</v>
      </c>
      <c r="C46" s="22" t="s">
        <v>305</v>
      </c>
      <c r="D46" s="22"/>
      <c r="E46" s="22" t="s">
        <v>306</v>
      </c>
      <c r="F46" s="22"/>
      <c r="G46" s="22"/>
      <c r="H46" s="22"/>
      <c r="I46" s="22" t="s">
        <v>307</v>
      </c>
      <c r="J46" s="22" t="s">
        <v>41</v>
      </c>
      <c r="K46" s="22">
        <v>2.5</v>
      </c>
      <c r="L46" s="23">
        <v>46179</v>
      </c>
      <c r="M46" s="24">
        <v>0.125</v>
      </c>
      <c r="N46" s="23">
        <v>46179</v>
      </c>
      <c r="O46" s="24">
        <v>0.25</v>
      </c>
      <c r="P46" s="25">
        <v>2500</v>
      </c>
      <c r="Q46" s="25">
        <v>0</v>
      </c>
      <c r="R46" s="22" t="s">
        <v>62</v>
      </c>
      <c r="S46" s="22" t="s">
        <v>66</v>
      </c>
      <c r="T46" s="26">
        <v>4653</v>
      </c>
      <c r="U46" s="28">
        <v>4653</v>
      </c>
      <c r="V46" s="26">
        <v>7500</v>
      </c>
      <c r="W46" s="27">
        <v>675</v>
      </c>
      <c r="X46" s="27" t="s">
        <v>435</v>
      </c>
      <c r="Y46" s="22" t="s">
        <v>288</v>
      </c>
      <c r="Z46" s="71" t="s">
        <v>369</v>
      </c>
    </row>
    <row r="47" spans="1:26" ht="336.6" x14ac:dyDescent="0.3">
      <c r="A47" s="22">
        <v>42</v>
      </c>
      <c r="B47" s="22" t="s">
        <v>56</v>
      </c>
      <c r="C47" s="22" t="s">
        <v>308</v>
      </c>
      <c r="D47" s="22"/>
      <c r="E47" s="22" t="s">
        <v>300</v>
      </c>
      <c r="F47" s="22"/>
      <c r="G47" s="22"/>
      <c r="H47" s="22"/>
      <c r="I47" s="22" t="s">
        <v>309</v>
      </c>
      <c r="J47" s="22" t="s">
        <v>41</v>
      </c>
      <c r="K47" s="22">
        <v>4.5999999999999996</v>
      </c>
      <c r="L47" s="23">
        <v>46179</v>
      </c>
      <c r="M47" s="24">
        <v>0.33333333333333331</v>
      </c>
      <c r="N47" s="23">
        <v>46179</v>
      </c>
      <c r="O47" s="24">
        <v>0.45833333333333331</v>
      </c>
      <c r="P47" s="25">
        <v>1350</v>
      </c>
      <c r="Q47" s="25">
        <v>0</v>
      </c>
      <c r="R47" s="22" t="s">
        <v>310</v>
      </c>
      <c r="S47" s="22" t="s">
        <v>29</v>
      </c>
      <c r="T47" s="26">
        <v>6291</v>
      </c>
      <c r="U47" s="28">
        <v>6291</v>
      </c>
      <c r="V47" s="26">
        <v>13800</v>
      </c>
      <c r="W47" s="27">
        <v>1242</v>
      </c>
      <c r="X47" s="27" t="s">
        <v>435</v>
      </c>
      <c r="Y47" s="22" t="s">
        <v>288</v>
      </c>
      <c r="Z47" s="71" t="s">
        <v>370</v>
      </c>
    </row>
    <row r="48" spans="1:26" ht="39" customHeight="1" x14ac:dyDescent="0.3">
      <c r="A48" s="22">
        <v>43</v>
      </c>
      <c r="B48" s="22" t="s">
        <v>56</v>
      </c>
      <c r="C48" s="22" t="s">
        <v>311</v>
      </c>
      <c r="D48" s="22"/>
      <c r="E48" s="22" t="s">
        <v>312</v>
      </c>
      <c r="F48" s="22"/>
      <c r="G48" s="22"/>
      <c r="H48" s="22"/>
      <c r="I48" s="22" t="s">
        <v>313</v>
      </c>
      <c r="J48" s="22" t="s">
        <v>41</v>
      </c>
      <c r="K48" s="22">
        <v>20.5</v>
      </c>
      <c r="L48" s="23">
        <v>46179</v>
      </c>
      <c r="M48" s="24">
        <v>0.125</v>
      </c>
      <c r="N48" s="23">
        <v>46179</v>
      </c>
      <c r="O48" s="24">
        <v>0.25</v>
      </c>
      <c r="P48" s="25">
        <v>1850</v>
      </c>
      <c r="Q48" s="25">
        <v>0</v>
      </c>
      <c r="R48" s="22" t="s">
        <v>62</v>
      </c>
      <c r="S48" s="22" t="s">
        <v>29</v>
      </c>
      <c r="T48" s="26">
        <v>29908</v>
      </c>
      <c r="U48" s="28">
        <v>29908</v>
      </c>
      <c r="V48" s="26">
        <v>61500</v>
      </c>
      <c r="W48" s="27">
        <v>5535</v>
      </c>
      <c r="X48" s="27" t="s">
        <v>435</v>
      </c>
      <c r="Y48" s="22" t="s">
        <v>288</v>
      </c>
      <c r="Z48" s="71" t="s">
        <v>371</v>
      </c>
    </row>
    <row r="49" spans="1:26" ht="234.6" x14ac:dyDescent="0.3">
      <c r="A49" s="22">
        <v>44</v>
      </c>
      <c r="B49" s="22" t="s">
        <v>56</v>
      </c>
      <c r="C49" s="22" t="s">
        <v>314</v>
      </c>
      <c r="D49" s="22"/>
      <c r="E49" s="22" t="s">
        <v>303</v>
      </c>
      <c r="F49" s="22"/>
      <c r="G49" s="22"/>
      <c r="H49" s="22"/>
      <c r="I49" s="22" t="s">
        <v>315</v>
      </c>
      <c r="J49" s="22" t="s">
        <v>41</v>
      </c>
      <c r="K49" s="22">
        <v>7.8</v>
      </c>
      <c r="L49" s="23">
        <v>46179</v>
      </c>
      <c r="M49" s="24">
        <v>0.33333333333333331</v>
      </c>
      <c r="N49" s="23">
        <v>46179</v>
      </c>
      <c r="O49" s="24">
        <v>0.45833333333333331</v>
      </c>
      <c r="P49" s="25">
        <v>1350</v>
      </c>
      <c r="Q49" s="25">
        <v>0</v>
      </c>
      <c r="R49" s="22" t="s">
        <v>316</v>
      </c>
      <c r="S49" s="22" t="s">
        <v>29</v>
      </c>
      <c r="T49" s="26">
        <v>11667</v>
      </c>
      <c r="U49" s="28">
        <v>11667</v>
      </c>
      <c r="V49" s="26">
        <v>23400</v>
      </c>
      <c r="W49" s="27">
        <v>2106</v>
      </c>
      <c r="X49" s="27" t="s">
        <v>435</v>
      </c>
      <c r="Y49" s="22" t="s">
        <v>288</v>
      </c>
      <c r="Z49" s="71" t="s">
        <v>372</v>
      </c>
    </row>
    <row r="50" spans="1:26" ht="112.2" x14ac:dyDescent="0.3">
      <c r="A50" s="22">
        <v>45</v>
      </c>
      <c r="B50" s="22" t="s">
        <v>82</v>
      </c>
      <c r="C50" s="33" t="s">
        <v>155</v>
      </c>
      <c r="D50" s="22"/>
      <c r="E50" s="22" t="s">
        <v>156</v>
      </c>
      <c r="F50" s="22"/>
      <c r="G50" s="22" t="s">
        <v>85</v>
      </c>
      <c r="H50" s="22" t="s">
        <v>156</v>
      </c>
      <c r="I50" s="22" t="s">
        <v>157</v>
      </c>
      <c r="J50" s="22" t="s">
        <v>41</v>
      </c>
      <c r="K50" s="22">
        <v>4.5</v>
      </c>
      <c r="L50" s="34">
        <v>46179</v>
      </c>
      <c r="M50" s="24">
        <v>0.125</v>
      </c>
      <c r="N50" s="34">
        <v>46179</v>
      </c>
      <c r="O50" s="24">
        <v>0.25</v>
      </c>
      <c r="P50" s="25">
        <v>10370.73</v>
      </c>
      <c r="Q50" s="25">
        <v>0</v>
      </c>
      <c r="R50" s="22" t="s">
        <v>158</v>
      </c>
      <c r="S50" s="35" t="s">
        <v>29</v>
      </c>
      <c r="T50" s="26">
        <v>6545</v>
      </c>
      <c r="U50" s="28">
        <v>10674</v>
      </c>
      <c r="V50" s="26">
        <v>13500</v>
      </c>
      <c r="W50" s="27">
        <v>1215</v>
      </c>
      <c r="X50" s="27" t="s">
        <v>429</v>
      </c>
      <c r="Y50" s="22"/>
      <c r="Z50" s="71" t="s">
        <v>391</v>
      </c>
    </row>
    <row r="51" spans="1:26" ht="30.6" x14ac:dyDescent="0.3">
      <c r="A51" s="22">
        <v>46</v>
      </c>
      <c r="B51" s="22" t="s">
        <v>94</v>
      </c>
      <c r="C51" s="22" t="s">
        <v>159</v>
      </c>
      <c r="D51" s="22"/>
      <c r="E51" s="22" t="s">
        <v>160</v>
      </c>
      <c r="F51" s="22" t="s">
        <v>161</v>
      </c>
      <c r="G51" s="22" t="s">
        <v>97</v>
      </c>
      <c r="H51" s="22" t="s">
        <v>162</v>
      </c>
      <c r="I51" s="22" t="s">
        <v>163</v>
      </c>
      <c r="J51" s="22" t="s">
        <v>28</v>
      </c>
      <c r="K51" s="22">
        <v>3.8</v>
      </c>
      <c r="L51" s="23">
        <v>46180</v>
      </c>
      <c r="M51" s="24">
        <v>0.125</v>
      </c>
      <c r="N51" s="23">
        <v>46180</v>
      </c>
      <c r="O51" s="24">
        <v>0.25</v>
      </c>
      <c r="P51" s="25">
        <v>4000</v>
      </c>
      <c r="Q51" s="25">
        <v>0</v>
      </c>
      <c r="R51" s="22" t="s">
        <v>164</v>
      </c>
      <c r="S51" s="35" t="s">
        <v>4</v>
      </c>
      <c r="T51" s="26">
        <v>4273</v>
      </c>
      <c r="U51" s="28">
        <v>4273</v>
      </c>
      <c r="V51" s="26">
        <v>11400</v>
      </c>
      <c r="W51" s="27">
        <v>1026</v>
      </c>
      <c r="X51" s="27" t="s">
        <v>428</v>
      </c>
      <c r="Y51" s="22"/>
      <c r="Z51" s="71" t="s">
        <v>355</v>
      </c>
    </row>
    <row r="52" spans="1:26" ht="91.8" x14ac:dyDescent="0.3">
      <c r="A52" s="22">
        <v>47</v>
      </c>
      <c r="B52" s="22" t="s">
        <v>100</v>
      </c>
      <c r="C52" s="22" t="s">
        <v>165</v>
      </c>
      <c r="D52" s="22"/>
      <c r="E52" s="22" t="s">
        <v>166</v>
      </c>
      <c r="F52" s="22"/>
      <c r="G52" s="22" t="s">
        <v>45</v>
      </c>
      <c r="H52" s="22" t="s">
        <v>107</v>
      </c>
      <c r="I52" s="22" t="s">
        <v>167</v>
      </c>
      <c r="J52" s="22" t="s">
        <v>41</v>
      </c>
      <c r="K52" s="22">
        <v>12</v>
      </c>
      <c r="L52" s="23">
        <v>46180</v>
      </c>
      <c r="M52" s="24">
        <v>8.3333333333333329E-2</v>
      </c>
      <c r="N52" s="23">
        <v>46180</v>
      </c>
      <c r="O52" s="24">
        <v>0.20833333333333334</v>
      </c>
      <c r="P52" s="25">
        <v>3045.24</v>
      </c>
      <c r="Q52" s="25">
        <v>0</v>
      </c>
      <c r="R52" s="22"/>
      <c r="S52" s="35" t="s">
        <v>29</v>
      </c>
      <c r="T52" s="26">
        <v>9119</v>
      </c>
      <c r="U52" s="28">
        <v>9119</v>
      </c>
      <c r="V52" s="26">
        <v>36000</v>
      </c>
      <c r="W52" s="27">
        <v>3240</v>
      </c>
      <c r="X52" s="27" t="s">
        <v>435</v>
      </c>
      <c r="Y52" s="22"/>
      <c r="Z52" s="74" t="s">
        <v>346</v>
      </c>
    </row>
    <row r="53" spans="1:26" ht="51" x14ac:dyDescent="0.3">
      <c r="A53" s="22">
        <v>48</v>
      </c>
      <c r="B53" s="22" t="s">
        <v>100</v>
      </c>
      <c r="C53" s="36" t="s">
        <v>168</v>
      </c>
      <c r="D53" s="22"/>
      <c r="E53" s="22" t="s">
        <v>169</v>
      </c>
      <c r="F53" s="22"/>
      <c r="G53" s="22" t="s">
        <v>45</v>
      </c>
      <c r="H53" s="22" t="s">
        <v>170</v>
      </c>
      <c r="I53" s="22" t="s">
        <v>171</v>
      </c>
      <c r="J53" s="22" t="s">
        <v>41</v>
      </c>
      <c r="K53" s="22">
        <v>7</v>
      </c>
      <c r="L53" s="23">
        <v>46179</v>
      </c>
      <c r="M53" s="24">
        <v>8.3333333333333329E-2</v>
      </c>
      <c r="N53" s="23">
        <v>46179</v>
      </c>
      <c r="O53" s="24">
        <v>0.20833333333333334</v>
      </c>
      <c r="P53" s="25">
        <v>5765.24</v>
      </c>
      <c r="Q53" s="25">
        <v>0</v>
      </c>
      <c r="R53" s="22"/>
      <c r="S53" s="35" t="s">
        <v>29</v>
      </c>
      <c r="T53" s="26">
        <v>11724</v>
      </c>
      <c r="U53" s="28">
        <v>11724</v>
      </c>
      <c r="V53" s="26">
        <v>21000</v>
      </c>
      <c r="W53" s="27">
        <v>1890</v>
      </c>
      <c r="X53" s="27" t="s">
        <v>435</v>
      </c>
      <c r="Y53" s="22"/>
      <c r="Z53" s="74" t="s">
        <v>347</v>
      </c>
    </row>
    <row r="54" spans="1:26" ht="377.4" x14ac:dyDescent="0.3">
      <c r="A54" s="22">
        <v>49</v>
      </c>
      <c r="B54" s="22" t="s">
        <v>113</v>
      </c>
      <c r="C54" s="22" t="s">
        <v>172</v>
      </c>
      <c r="D54" s="22"/>
      <c r="E54" s="22" t="s">
        <v>173</v>
      </c>
      <c r="F54" s="22"/>
      <c r="G54" s="22" t="s">
        <v>116</v>
      </c>
      <c r="H54" s="22" t="s">
        <v>174</v>
      </c>
      <c r="I54" s="22" t="s">
        <v>175</v>
      </c>
      <c r="J54" s="22" t="s">
        <v>28</v>
      </c>
      <c r="K54" s="22">
        <v>13.59</v>
      </c>
      <c r="L54" s="23">
        <v>46179</v>
      </c>
      <c r="M54" s="24">
        <v>0.125</v>
      </c>
      <c r="N54" s="23">
        <v>46179</v>
      </c>
      <c r="O54" s="24">
        <v>0.25</v>
      </c>
      <c r="P54" s="25">
        <v>1500</v>
      </c>
      <c r="Q54" s="25">
        <v>0</v>
      </c>
      <c r="R54" s="22"/>
      <c r="S54" s="35" t="s">
        <v>29</v>
      </c>
      <c r="T54" s="26">
        <v>27109</v>
      </c>
      <c r="U54" s="28">
        <v>27109</v>
      </c>
      <c r="V54" s="26">
        <v>40770</v>
      </c>
      <c r="W54" s="27">
        <v>3669.2999999999997</v>
      </c>
      <c r="X54" s="27" t="s">
        <v>447</v>
      </c>
      <c r="Y54" s="22"/>
      <c r="Z54" s="71" t="s">
        <v>420</v>
      </c>
    </row>
    <row r="55" spans="1:26" s="55" customFormat="1" ht="40.799999999999997" x14ac:dyDescent="0.2">
      <c r="A55" s="22">
        <v>50</v>
      </c>
      <c r="B55" s="22" t="s">
        <v>82</v>
      </c>
      <c r="C55" s="33" t="s">
        <v>176</v>
      </c>
      <c r="D55" s="22"/>
      <c r="E55" s="22" t="s">
        <v>177</v>
      </c>
      <c r="F55" s="22"/>
      <c r="G55" s="22" t="s">
        <v>85</v>
      </c>
      <c r="H55" s="22" t="s">
        <v>183</v>
      </c>
      <c r="I55" s="22" t="s">
        <v>178</v>
      </c>
      <c r="J55" s="22" t="s">
        <v>41</v>
      </c>
      <c r="K55" s="22">
        <v>8.5</v>
      </c>
      <c r="L55" s="34">
        <v>46180</v>
      </c>
      <c r="M55" s="24">
        <v>0.125</v>
      </c>
      <c r="N55" s="34">
        <v>46180</v>
      </c>
      <c r="O55" s="24">
        <v>0.25</v>
      </c>
      <c r="P55" s="25">
        <v>55048.43</v>
      </c>
      <c r="Q55" s="25">
        <v>0</v>
      </c>
      <c r="R55" s="22" t="s">
        <v>179</v>
      </c>
      <c r="S55" s="35" t="s">
        <v>29</v>
      </c>
      <c r="T55" s="26">
        <v>5273</v>
      </c>
      <c r="U55" s="26">
        <v>14892</v>
      </c>
      <c r="V55" s="26">
        <v>25500</v>
      </c>
      <c r="W55" s="27">
        <v>2295</v>
      </c>
      <c r="X55" s="27" t="s">
        <v>442</v>
      </c>
      <c r="Y55" s="22"/>
      <c r="Z55" s="71" t="s">
        <v>392</v>
      </c>
    </row>
    <row r="56" spans="1:26" s="55" customFormat="1" ht="61.2" x14ac:dyDescent="0.2">
      <c r="A56" s="22">
        <v>51</v>
      </c>
      <c r="B56" s="22" t="s">
        <v>94</v>
      </c>
      <c r="C56" s="22" t="s">
        <v>180</v>
      </c>
      <c r="D56" s="22" t="s">
        <v>181</v>
      </c>
      <c r="E56" s="22" t="s">
        <v>182</v>
      </c>
      <c r="F56" s="22"/>
      <c r="G56" s="22" t="s">
        <v>97</v>
      </c>
      <c r="H56" s="22" t="s">
        <v>98</v>
      </c>
      <c r="I56" s="22" t="s">
        <v>66</v>
      </c>
      <c r="J56" s="22" t="s">
        <v>28</v>
      </c>
      <c r="K56" s="22">
        <v>32</v>
      </c>
      <c r="L56" s="23">
        <v>46179</v>
      </c>
      <c r="M56" s="24">
        <v>0.25</v>
      </c>
      <c r="N56" s="23">
        <v>46179</v>
      </c>
      <c r="O56" s="24">
        <v>0.375</v>
      </c>
      <c r="P56" s="25">
        <v>19234</v>
      </c>
      <c r="Q56" s="25">
        <v>0</v>
      </c>
      <c r="R56" s="22" t="s">
        <v>99</v>
      </c>
      <c r="S56" s="35" t="s">
        <v>66</v>
      </c>
      <c r="T56" s="26">
        <v>19764</v>
      </c>
      <c r="U56" s="22">
        <v>19764</v>
      </c>
      <c r="V56" s="26">
        <v>96000</v>
      </c>
      <c r="W56" s="27">
        <v>8640</v>
      </c>
      <c r="X56" s="27" t="s">
        <v>448</v>
      </c>
      <c r="Y56" s="22"/>
      <c r="Z56" s="71" t="s">
        <v>356</v>
      </c>
    </row>
    <row r="57" spans="1:26" s="38" customFormat="1" ht="31.5" customHeight="1" x14ac:dyDescent="0.2">
      <c r="A57" s="39">
        <v>52</v>
      </c>
      <c r="B57" s="39" t="s">
        <v>22</v>
      </c>
      <c r="C57" s="39" t="s">
        <v>30</v>
      </c>
      <c r="D57" s="39"/>
      <c r="E57" s="39" t="s">
        <v>24</v>
      </c>
      <c r="F57" s="39" t="s">
        <v>31</v>
      </c>
      <c r="G57" s="39" t="s">
        <v>25</v>
      </c>
      <c r="H57" s="39" t="s">
        <v>32</v>
      </c>
      <c r="I57" s="39" t="s">
        <v>33</v>
      </c>
      <c r="J57" s="39" t="s">
        <v>34</v>
      </c>
      <c r="K57" s="39">
        <v>0.19</v>
      </c>
      <c r="L57" s="40">
        <v>46172</v>
      </c>
      <c r="M57" s="41">
        <v>4.1666666666666664E-2</v>
      </c>
      <c r="N57" s="40">
        <v>46172</v>
      </c>
      <c r="O57" s="41">
        <v>0.16666666666666666</v>
      </c>
      <c r="P57" s="42">
        <v>14500</v>
      </c>
      <c r="Q57" s="42">
        <v>0</v>
      </c>
      <c r="R57" s="39"/>
      <c r="S57" s="39" t="s">
        <v>4</v>
      </c>
      <c r="T57" s="82">
        <v>350</v>
      </c>
      <c r="U57" s="44">
        <v>350</v>
      </c>
      <c r="V57" s="82">
        <v>570</v>
      </c>
      <c r="W57" s="45">
        <v>51.3</v>
      </c>
      <c r="X57" s="45" t="s">
        <v>451</v>
      </c>
      <c r="Y57" s="39"/>
      <c r="Z57" s="71" t="s">
        <v>416</v>
      </c>
    </row>
    <row r="58" spans="1:26" s="38" customFormat="1" ht="36.75" customHeight="1" x14ac:dyDescent="0.2">
      <c r="A58" s="39">
        <v>53</v>
      </c>
      <c r="B58" s="39" t="s">
        <v>22</v>
      </c>
      <c r="C58" s="39" t="s">
        <v>124</v>
      </c>
      <c r="D58" s="39"/>
      <c r="E58" s="39" t="s">
        <v>125</v>
      </c>
      <c r="F58" s="39"/>
      <c r="G58" s="39" t="s">
        <v>25</v>
      </c>
      <c r="H58" s="39" t="s">
        <v>126</v>
      </c>
      <c r="I58" s="39" t="s">
        <v>127</v>
      </c>
      <c r="J58" s="39" t="s">
        <v>41</v>
      </c>
      <c r="K58" s="39">
        <v>1.22</v>
      </c>
      <c r="L58" s="40">
        <v>46179</v>
      </c>
      <c r="M58" s="41">
        <v>0.125</v>
      </c>
      <c r="N58" s="40">
        <v>46179</v>
      </c>
      <c r="O58" s="41">
        <v>0.25</v>
      </c>
      <c r="P58" s="42">
        <v>400</v>
      </c>
      <c r="Q58" s="42">
        <v>0</v>
      </c>
      <c r="R58" s="39"/>
      <c r="S58" s="39" t="s">
        <v>29</v>
      </c>
      <c r="T58" s="82">
        <v>10655</v>
      </c>
      <c r="U58" s="44">
        <v>20000</v>
      </c>
      <c r="V58" s="82">
        <v>3660</v>
      </c>
      <c r="W58" s="45">
        <v>329.4</v>
      </c>
      <c r="X58" s="45" t="s">
        <v>435</v>
      </c>
      <c r="Y58" s="39"/>
      <c r="Z58" s="71" t="s">
        <v>417</v>
      </c>
    </row>
    <row r="59" spans="1:26" s="38" customFormat="1" ht="20.399999999999999" x14ac:dyDescent="0.2">
      <c r="A59" s="39">
        <v>54</v>
      </c>
      <c r="B59" s="39" t="s">
        <v>22</v>
      </c>
      <c r="C59" s="39" t="s">
        <v>193</v>
      </c>
      <c r="D59" s="39"/>
      <c r="E59" s="39"/>
      <c r="F59" s="39" t="s">
        <v>194</v>
      </c>
      <c r="G59" s="39" t="s">
        <v>290</v>
      </c>
      <c r="H59" s="39" t="s">
        <v>289</v>
      </c>
      <c r="I59" s="39" t="s">
        <v>195</v>
      </c>
      <c r="J59" s="39" t="s">
        <v>28</v>
      </c>
      <c r="K59" s="39">
        <v>0.18</v>
      </c>
      <c r="L59" s="40">
        <v>46179</v>
      </c>
      <c r="M59" s="41">
        <v>0.375</v>
      </c>
      <c r="N59" s="40">
        <v>46179</v>
      </c>
      <c r="O59" s="41">
        <v>0.5</v>
      </c>
      <c r="P59" s="42">
        <v>12159.84</v>
      </c>
      <c r="Q59" s="42">
        <v>0</v>
      </c>
      <c r="R59" s="39" t="s">
        <v>196</v>
      </c>
      <c r="S59" s="39" t="s">
        <v>4</v>
      </c>
      <c r="T59" s="82">
        <v>350</v>
      </c>
      <c r="U59" s="82">
        <v>350</v>
      </c>
      <c r="V59" s="82">
        <v>540</v>
      </c>
      <c r="W59" s="45">
        <v>48.6</v>
      </c>
      <c r="X59" s="45" t="s">
        <v>428</v>
      </c>
      <c r="Y59" s="39"/>
      <c r="Z59" s="71" t="s">
        <v>410</v>
      </c>
    </row>
    <row r="60" spans="1:26" s="38" customFormat="1" ht="20.399999999999999" x14ac:dyDescent="0.2">
      <c r="A60" s="39">
        <v>55</v>
      </c>
      <c r="B60" s="39" t="s">
        <v>22</v>
      </c>
      <c r="C60" s="39" t="s">
        <v>193</v>
      </c>
      <c r="D60" s="39"/>
      <c r="E60" s="39"/>
      <c r="F60" s="39" t="s">
        <v>197</v>
      </c>
      <c r="G60" s="39" t="s">
        <v>290</v>
      </c>
      <c r="H60" s="39" t="s">
        <v>291</v>
      </c>
      <c r="I60" s="39" t="s">
        <v>198</v>
      </c>
      <c r="J60" s="39" t="s">
        <v>28</v>
      </c>
      <c r="K60" s="39">
        <v>0.24</v>
      </c>
      <c r="L60" s="40">
        <v>46179</v>
      </c>
      <c r="M60" s="41">
        <v>0.375</v>
      </c>
      <c r="N60" s="40">
        <v>46179</v>
      </c>
      <c r="O60" s="41">
        <v>0.5</v>
      </c>
      <c r="P60" s="42">
        <v>10200</v>
      </c>
      <c r="Q60" s="42">
        <v>0</v>
      </c>
      <c r="R60" s="39" t="s">
        <v>196</v>
      </c>
      <c r="S60" s="39" t="s">
        <v>4</v>
      </c>
      <c r="T60" s="82">
        <v>1351</v>
      </c>
      <c r="U60" s="82">
        <v>1351</v>
      </c>
      <c r="V60" s="82">
        <v>720</v>
      </c>
      <c r="W60" s="45">
        <v>64.8</v>
      </c>
      <c r="X60" s="45" t="s">
        <v>428</v>
      </c>
      <c r="Y60" s="39"/>
      <c r="Z60" s="71" t="s">
        <v>411</v>
      </c>
    </row>
    <row r="61" spans="1:26" s="38" customFormat="1" ht="20.399999999999999" x14ac:dyDescent="0.2">
      <c r="A61" s="39">
        <v>56</v>
      </c>
      <c r="B61" s="39" t="s">
        <v>22</v>
      </c>
      <c r="C61" s="39" t="s">
        <v>193</v>
      </c>
      <c r="D61" s="39"/>
      <c r="E61" s="39"/>
      <c r="F61" s="39" t="s">
        <v>199</v>
      </c>
      <c r="G61" s="39" t="s">
        <v>290</v>
      </c>
      <c r="H61" s="39" t="s">
        <v>292</v>
      </c>
      <c r="I61" s="39" t="s">
        <v>200</v>
      </c>
      <c r="J61" s="39" t="s">
        <v>28</v>
      </c>
      <c r="K61" s="39">
        <v>0.64</v>
      </c>
      <c r="L61" s="40">
        <v>46180</v>
      </c>
      <c r="M61" s="41">
        <v>0.375</v>
      </c>
      <c r="N61" s="40">
        <v>46180</v>
      </c>
      <c r="O61" s="41">
        <v>0.5</v>
      </c>
      <c r="P61" s="42">
        <v>15350</v>
      </c>
      <c r="Q61" s="42">
        <v>0</v>
      </c>
      <c r="R61" s="39" t="s">
        <v>196</v>
      </c>
      <c r="S61" s="39" t="s">
        <v>4</v>
      </c>
      <c r="T61" s="43">
        <v>2600</v>
      </c>
      <c r="U61" s="80">
        <v>2600</v>
      </c>
      <c r="V61" s="43">
        <v>1920</v>
      </c>
      <c r="W61" s="45">
        <v>172.79999999999998</v>
      </c>
      <c r="X61" s="45" t="s">
        <v>428</v>
      </c>
      <c r="Y61" s="39"/>
      <c r="Z61" s="71" t="s">
        <v>412</v>
      </c>
    </row>
    <row r="62" spans="1:26" s="38" customFormat="1" ht="30.6" x14ac:dyDescent="0.2">
      <c r="A62" s="39">
        <v>57</v>
      </c>
      <c r="B62" s="39" t="s">
        <v>22</v>
      </c>
      <c r="C62" s="39" t="s">
        <v>201</v>
      </c>
      <c r="D62" s="39"/>
      <c r="E62" s="39"/>
      <c r="F62" s="39" t="s">
        <v>202</v>
      </c>
      <c r="G62" s="39" t="s">
        <v>290</v>
      </c>
      <c r="H62" s="39" t="s">
        <v>293</v>
      </c>
      <c r="I62" s="39" t="s">
        <v>203</v>
      </c>
      <c r="J62" s="39" t="s">
        <v>41</v>
      </c>
      <c r="K62" s="39">
        <v>8.5000000000000006E-2</v>
      </c>
      <c r="L62" s="40">
        <v>46172</v>
      </c>
      <c r="M62" s="41">
        <v>0.41666666666666669</v>
      </c>
      <c r="N62" s="40">
        <v>46172</v>
      </c>
      <c r="O62" s="41">
        <v>0.5</v>
      </c>
      <c r="P62" s="42">
        <v>3048.56</v>
      </c>
      <c r="Q62" s="42">
        <v>0</v>
      </c>
      <c r="R62" s="39" t="s">
        <v>196</v>
      </c>
      <c r="S62" s="39" t="s">
        <v>4</v>
      </c>
      <c r="T62" s="43">
        <v>120</v>
      </c>
      <c r="U62" s="82">
        <v>120</v>
      </c>
      <c r="V62" s="43">
        <v>169.99999999999997</v>
      </c>
      <c r="W62" s="45">
        <v>15.299999999999997</v>
      </c>
      <c r="X62" s="45" t="s">
        <v>450</v>
      </c>
      <c r="Y62" s="39"/>
      <c r="Z62" s="71" t="s">
        <v>413</v>
      </c>
    </row>
    <row r="63" spans="1:26" s="38" customFormat="1" ht="30.6" x14ac:dyDescent="0.2">
      <c r="A63" s="39">
        <v>58</v>
      </c>
      <c r="B63" s="39" t="s">
        <v>22</v>
      </c>
      <c r="C63" s="39" t="s">
        <v>204</v>
      </c>
      <c r="D63" s="39"/>
      <c r="E63" s="39"/>
      <c r="F63" s="39" t="s">
        <v>422</v>
      </c>
      <c r="G63" s="39" t="s">
        <v>290</v>
      </c>
      <c r="H63" s="39" t="s">
        <v>423</v>
      </c>
      <c r="I63" s="39" t="s">
        <v>424</v>
      </c>
      <c r="J63" s="39" t="s">
        <v>41</v>
      </c>
      <c r="K63" s="39">
        <v>0.2</v>
      </c>
      <c r="L63" s="40">
        <v>46172</v>
      </c>
      <c r="M63" s="41">
        <v>0.375</v>
      </c>
      <c r="N63" s="40">
        <v>46172</v>
      </c>
      <c r="O63" s="41">
        <v>0.5</v>
      </c>
      <c r="P63" s="42">
        <v>2360.7800000000002</v>
      </c>
      <c r="Q63" s="42">
        <v>0</v>
      </c>
      <c r="R63" s="39" t="s">
        <v>196</v>
      </c>
      <c r="S63" s="39" t="s">
        <v>4</v>
      </c>
      <c r="T63" s="43">
        <v>600</v>
      </c>
      <c r="U63" s="82">
        <v>600</v>
      </c>
      <c r="V63" s="43">
        <v>600</v>
      </c>
      <c r="W63" s="45">
        <v>54</v>
      </c>
      <c r="X63" s="45" t="s">
        <v>453</v>
      </c>
      <c r="Y63" s="39"/>
      <c r="Z63" s="71" t="s">
        <v>414</v>
      </c>
    </row>
    <row r="64" spans="1:26" s="38" customFormat="1" ht="30.6" x14ac:dyDescent="0.2">
      <c r="A64" s="39">
        <v>59</v>
      </c>
      <c r="B64" s="39" t="s">
        <v>22</v>
      </c>
      <c r="C64" s="39" t="s">
        <v>207</v>
      </c>
      <c r="D64" s="39"/>
      <c r="E64" s="39"/>
      <c r="F64" s="39" t="s">
        <v>208</v>
      </c>
      <c r="G64" s="39" t="s">
        <v>290</v>
      </c>
      <c r="H64" s="39" t="s">
        <v>291</v>
      </c>
      <c r="I64" s="39" t="s">
        <v>209</v>
      </c>
      <c r="J64" s="39" t="s">
        <v>34</v>
      </c>
      <c r="K64" s="39">
        <v>0.4</v>
      </c>
      <c r="L64" s="40">
        <v>46173</v>
      </c>
      <c r="M64" s="41">
        <v>0.125</v>
      </c>
      <c r="N64" s="40">
        <v>46173</v>
      </c>
      <c r="O64" s="41">
        <v>0.25</v>
      </c>
      <c r="P64" s="42">
        <v>20000</v>
      </c>
      <c r="Q64" s="42">
        <v>0</v>
      </c>
      <c r="R64" s="39"/>
      <c r="S64" s="39" t="s">
        <v>4</v>
      </c>
      <c r="T64" s="43">
        <v>930</v>
      </c>
      <c r="U64" s="82">
        <v>930</v>
      </c>
      <c r="V64" s="43">
        <v>1200</v>
      </c>
      <c r="W64" s="45">
        <v>108</v>
      </c>
      <c r="X64" s="45" t="s">
        <v>454</v>
      </c>
      <c r="Y64" s="39"/>
      <c r="Z64" s="81" t="s">
        <v>415</v>
      </c>
    </row>
    <row r="65" spans="1:26" s="38" customFormat="1" ht="40.799999999999997" x14ac:dyDescent="0.2">
      <c r="A65" s="39">
        <v>60</v>
      </c>
      <c r="B65" s="39" t="s">
        <v>82</v>
      </c>
      <c r="C65" s="39" t="s">
        <v>210</v>
      </c>
      <c r="D65" s="39"/>
      <c r="E65" s="39"/>
      <c r="F65" s="46" t="s">
        <v>211</v>
      </c>
      <c r="G65" s="46" t="s">
        <v>85</v>
      </c>
      <c r="H65" s="46" t="s">
        <v>298</v>
      </c>
      <c r="I65" s="39" t="s">
        <v>212</v>
      </c>
      <c r="J65" s="39" t="s">
        <v>28</v>
      </c>
      <c r="K65" s="39">
        <v>0.2</v>
      </c>
      <c r="L65" s="40">
        <v>46179</v>
      </c>
      <c r="M65" s="41">
        <v>0.375</v>
      </c>
      <c r="N65" s="40">
        <v>46179</v>
      </c>
      <c r="O65" s="41">
        <v>0.5</v>
      </c>
      <c r="P65" s="42">
        <v>7600</v>
      </c>
      <c r="Q65" s="42">
        <v>0</v>
      </c>
      <c r="R65" s="39" t="s">
        <v>213</v>
      </c>
      <c r="S65" s="39" t="s">
        <v>4</v>
      </c>
      <c r="T65" s="82">
        <v>510</v>
      </c>
      <c r="U65" s="44">
        <v>510</v>
      </c>
      <c r="V65" s="82">
        <v>600</v>
      </c>
      <c r="W65" s="45">
        <v>54</v>
      </c>
      <c r="X65" s="45" t="s">
        <v>455</v>
      </c>
      <c r="Y65" s="39"/>
      <c r="Z65" s="71" t="s">
        <v>393</v>
      </c>
    </row>
    <row r="66" spans="1:26" s="38" customFormat="1" ht="20.399999999999999" x14ac:dyDescent="0.2">
      <c r="A66" s="39">
        <v>61</v>
      </c>
      <c r="B66" s="39" t="s">
        <v>82</v>
      </c>
      <c r="C66" s="46" t="s">
        <v>214</v>
      </c>
      <c r="D66" s="39"/>
      <c r="E66" s="39"/>
      <c r="F66" s="46" t="s">
        <v>215</v>
      </c>
      <c r="G66" s="39" t="s">
        <v>85</v>
      </c>
      <c r="H66" s="46" t="s">
        <v>215</v>
      </c>
      <c r="I66" s="39" t="s">
        <v>216</v>
      </c>
      <c r="J66" s="39" t="s">
        <v>28</v>
      </c>
      <c r="K66" s="39">
        <v>1</v>
      </c>
      <c r="L66" s="40">
        <v>46172</v>
      </c>
      <c r="M66" s="41">
        <v>0.29166666666666669</v>
      </c>
      <c r="N66" s="40">
        <v>46172</v>
      </c>
      <c r="O66" s="41">
        <v>0.41666666666666669</v>
      </c>
      <c r="P66" s="42">
        <v>8700</v>
      </c>
      <c r="Q66" s="42">
        <v>1700</v>
      </c>
      <c r="R66" s="39" t="s">
        <v>213</v>
      </c>
      <c r="S66" s="39" t="s">
        <v>4</v>
      </c>
      <c r="T66" s="82">
        <v>1563</v>
      </c>
      <c r="U66" s="44">
        <v>1563</v>
      </c>
      <c r="V66" s="82">
        <v>3000</v>
      </c>
      <c r="W66" s="45">
        <v>270</v>
      </c>
      <c r="X66" s="45" t="s">
        <v>428</v>
      </c>
      <c r="Y66" s="39"/>
      <c r="Z66" s="71" t="s">
        <v>394</v>
      </c>
    </row>
    <row r="67" spans="1:26" s="38" customFormat="1" ht="20.399999999999999" x14ac:dyDescent="0.2">
      <c r="A67" s="39">
        <v>62</v>
      </c>
      <c r="B67" s="39" t="s">
        <v>82</v>
      </c>
      <c r="C67" s="39" t="s">
        <v>217</v>
      </c>
      <c r="D67" s="39"/>
      <c r="E67" s="39"/>
      <c r="F67" s="39" t="s">
        <v>218</v>
      </c>
      <c r="G67" s="39" t="s">
        <v>85</v>
      </c>
      <c r="H67" s="46" t="s">
        <v>215</v>
      </c>
      <c r="I67" s="39" t="s">
        <v>219</v>
      </c>
      <c r="J67" s="39" t="s">
        <v>28</v>
      </c>
      <c r="K67" s="39">
        <v>0.6</v>
      </c>
      <c r="L67" s="40">
        <v>46179</v>
      </c>
      <c r="M67" s="41">
        <v>0.29166666666666669</v>
      </c>
      <c r="N67" s="40">
        <v>46179</v>
      </c>
      <c r="O67" s="41">
        <v>0.41666666666666669</v>
      </c>
      <c r="P67" s="42">
        <v>3000</v>
      </c>
      <c r="Q67" s="42">
        <v>0</v>
      </c>
      <c r="R67" s="39" t="s">
        <v>220</v>
      </c>
      <c r="S67" s="39" t="s">
        <v>4</v>
      </c>
      <c r="T67" s="82">
        <v>2909</v>
      </c>
      <c r="U67" s="44">
        <v>2909</v>
      </c>
      <c r="V67" s="82">
        <v>1800</v>
      </c>
      <c r="W67" s="45">
        <v>162</v>
      </c>
      <c r="X67" s="45" t="s">
        <v>456</v>
      </c>
      <c r="Y67" s="39"/>
      <c r="Z67" s="71" t="s">
        <v>395</v>
      </c>
    </row>
    <row r="68" spans="1:26" s="38" customFormat="1" ht="20.399999999999999" x14ac:dyDescent="0.2">
      <c r="A68" s="39">
        <v>63</v>
      </c>
      <c r="B68" s="39" t="s">
        <v>82</v>
      </c>
      <c r="C68" s="39" t="s">
        <v>221</v>
      </c>
      <c r="D68" s="39"/>
      <c r="E68" s="39"/>
      <c r="F68" s="39" t="s">
        <v>222</v>
      </c>
      <c r="G68" s="39" t="s">
        <v>85</v>
      </c>
      <c r="H68" s="39" t="s">
        <v>297</v>
      </c>
      <c r="I68" s="39" t="s">
        <v>223</v>
      </c>
      <c r="J68" s="39" t="s">
        <v>28</v>
      </c>
      <c r="K68" s="39">
        <v>0.05</v>
      </c>
      <c r="L68" s="40">
        <v>46172</v>
      </c>
      <c r="M68" s="41">
        <v>0.33333333333333331</v>
      </c>
      <c r="N68" s="40">
        <v>46172</v>
      </c>
      <c r="O68" s="41">
        <v>0.39583333333333331</v>
      </c>
      <c r="P68" s="42">
        <v>250</v>
      </c>
      <c r="Q68" s="42">
        <v>0</v>
      </c>
      <c r="R68" s="39" t="s">
        <v>224</v>
      </c>
      <c r="S68" s="39" t="s">
        <v>4</v>
      </c>
      <c r="T68" s="82">
        <v>31</v>
      </c>
      <c r="U68" s="44">
        <v>31</v>
      </c>
      <c r="V68" s="82">
        <v>75</v>
      </c>
      <c r="W68" s="45">
        <v>6.75</v>
      </c>
      <c r="X68" s="45" t="s">
        <v>457</v>
      </c>
      <c r="Y68" s="39"/>
      <c r="Z68" s="71" t="s">
        <v>396</v>
      </c>
    </row>
    <row r="69" spans="1:26" s="38" customFormat="1" ht="20.399999999999999" x14ac:dyDescent="0.2">
      <c r="A69" s="39">
        <v>64</v>
      </c>
      <c r="B69" s="39" t="s">
        <v>82</v>
      </c>
      <c r="C69" s="39" t="s">
        <v>221</v>
      </c>
      <c r="D69" s="39"/>
      <c r="E69" s="39"/>
      <c r="F69" s="39" t="s">
        <v>222</v>
      </c>
      <c r="G69" s="39" t="s">
        <v>85</v>
      </c>
      <c r="H69" s="39" t="s">
        <v>297</v>
      </c>
      <c r="I69" s="39" t="s">
        <v>223</v>
      </c>
      <c r="J69" s="39" t="s">
        <v>28</v>
      </c>
      <c r="K69" s="39">
        <v>0.05</v>
      </c>
      <c r="L69" s="40">
        <v>46172</v>
      </c>
      <c r="M69" s="41">
        <v>0.45833333333333331</v>
      </c>
      <c r="N69" s="40">
        <v>46172</v>
      </c>
      <c r="O69" s="41">
        <v>0.52083333333333337</v>
      </c>
      <c r="P69" s="42">
        <v>250</v>
      </c>
      <c r="Q69" s="42">
        <v>0</v>
      </c>
      <c r="R69" s="39" t="s">
        <v>224</v>
      </c>
      <c r="S69" s="39" t="s">
        <v>4</v>
      </c>
      <c r="T69" s="82">
        <v>63</v>
      </c>
      <c r="U69" s="44">
        <v>63</v>
      </c>
      <c r="V69" s="82">
        <v>75.000000000000071</v>
      </c>
      <c r="W69" s="45">
        <v>6.7500000000000062</v>
      </c>
      <c r="X69" s="45" t="s">
        <v>457</v>
      </c>
      <c r="Y69" s="39"/>
      <c r="Z69" s="71" t="s">
        <v>397</v>
      </c>
    </row>
    <row r="70" spans="1:26" s="38" customFormat="1" ht="20.399999999999999" x14ac:dyDescent="0.2">
      <c r="A70" s="39">
        <v>65</v>
      </c>
      <c r="B70" s="39" t="s">
        <v>82</v>
      </c>
      <c r="C70" s="39" t="s">
        <v>221</v>
      </c>
      <c r="D70" s="39"/>
      <c r="E70" s="39"/>
      <c r="F70" s="39" t="s">
        <v>222</v>
      </c>
      <c r="G70" s="39" t="s">
        <v>85</v>
      </c>
      <c r="H70" s="39" t="s">
        <v>297</v>
      </c>
      <c r="I70" s="39" t="s">
        <v>223</v>
      </c>
      <c r="J70" s="39" t="s">
        <v>28</v>
      </c>
      <c r="K70" s="39">
        <v>0.05</v>
      </c>
      <c r="L70" s="40">
        <v>46172</v>
      </c>
      <c r="M70" s="41">
        <v>0.58333333333333337</v>
      </c>
      <c r="N70" s="40">
        <v>46172</v>
      </c>
      <c r="O70" s="41">
        <v>0.64583333333333337</v>
      </c>
      <c r="P70" s="42">
        <v>250</v>
      </c>
      <c r="Q70" s="42">
        <v>0</v>
      </c>
      <c r="R70" s="39" t="s">
        <v>224</v>
      </c>
      <c r="S70" s="39" t="s">
        <v>4</v>
      </c>
      <c r="T70" s="43">
        <v>1</v>
      </c>
      <c r="U70" s="44">
        <v>1</v>
      </c>
      <c r="V70" s="43">
        <v>75</v>
      </c>
      <c r="W70" s="45">
        <v>6.75</v>
      </c>
      <c r="X70" s="45" t="s">
        <v>457</v>
      </c>
      <c r="Y70" s="39"/>
      <c r="Z70" s="71" t="s">
        <v>398</v>
      </c>
    </row>
    <row r="71" spans="1:26" s="38" customFormat="1" ht="20.399999999999999" x14ac:dyDescent="0.2">
      <c r="A71" s="39">
        <v>66</v>
      </c>
      <c r="B71" s="39" t="s">
        <v>82</v>
      </c>
      <c r="C71" s="39" t="s">
        <v>221</v>
      </c>
      <c r="D71" s="39"/>
      <c r="E71" s="39"/>
      <c r="F71" s="39" t="s">
        <v>222</v>
      </c>
      <c r="G71" s="39" t="s">
        <v>85</v>
      </c>
      <c r="H71" s="39" t="s">
        <v>297</v>
      </c>
      <c r="I71" s="39" t="s">
        <v>223</v>
      </c>
      <c r="J71" s="39" t="s">
        <v>28</v>
      </c>
      <c r="K71" s="39">
        <v>0.05</v>
      </c>
      <c r="L71" s="40">
        <v>46172</v>
      </c>
      <c r="M71" s="41">
        <v>0.64583333333333337</v>
      </c>
      <c r="N71" s="40">
        <v>46172</v>
      </c>
      <c r="O71" s="41">
        <v>0.70833333333333337</v>
      </c>
      <c r="P71" s="42">
        <v>250</v>
      </c>
      <c r="Q71" s="42">
        <v>0</v>
      </c>
      <c r="R71" s="39" t="s">
        <v>224</v>
      </c>
      <c r="S71" s="39" t="s">
        <v>4</v>
      </c>
      <c r="T71" s="43">
        <v>24</v>
      </c>
      <c r="U71" s="44">
        <v>24</v>
      </c>
      <c r="V71" s="43">
        <v>75</v>
      </c>
      <c r="W71" s="45">
        <v>6.75</v>
      </c>
      <c r="X71" s="45" t="s">
        <v>457</v>
      </c>
      <c r="Y71" s="39"/>
      <c r="Z71" s="71" t="s">
        <v>399</v>
      </c>
    </row>
    <row r="72" spans="1:26" s="38" customFormat="1" ht="20.399999999999999" x14ac:dyDescent="0.2">
      <c r="A72" s="39">
        <v>67</v>
      </c>
      <c r="B72" s="39" t="s">
        <v>82</v>
      </c>
      <c r="C72" s="39" t="s">
        <v>221</v>
      </c>
      <c r="D72" s="39"/>
      <c r="E72" s="39"/>
      <c r="F72" s="39" t="s">
        <v>222</v>
      </c>
      <c r="G72" s="39" t="s">
        <v>85</v>
      </c>
      <c r="H72" s="39" t="s">
        <v>297</v>
      </c>
      <c r="I72" s="39" t="s">
        <v>223</v>
      </c>
      <c r="J72" s="39" t="s">
        <v>28</v>
      </c>
      <c r="K72" s="39">
        <v>0.05</v>
      </c>
      <c r="L72" s="40">
        <v>46180</v>
      </c>
      <c r="M72" s="41">
        <v>0.45833333333333331</v>
      </c>
      <c r="N72" s="40">
        <v>46180</v>
      </c>
      <c r="O72" s="41">
        <v>0.52083333333333337</v>
      </c>
      <c r="P72" s="42">
        <v>250</v>
      </c>
      <c r="Q72" s="42">
        <v>0</v>
      </c>
      <c r="R72" s="39" t="s">
        <v>224</v>
      </c>
      <c r="S72" s="39" t="s">
        <v>4</v>
      </c>
      <c r="T72" s="43">
        <v>30</v>
      </c>
      <c r="U72" s="44">
        <v>30</v>
      </c>
      <c r="V72" s="43">
        <v>75.000000000000071</v>
      </c>
      <c r="W72" s="45">
        <v>6.7500000000000062</v>
      </c>
      <c r="X72" s="45" t="s">
        <v>457</v>
      </c>
      <c r="Y72" s="39"/>
      <c r="Z72" s="71" t="s">
        <v>400</v>
      </c>
    </row>
    <row r="73" spans="1:26" s="38" customFormat="1" ht="20.399999999999999" x14ac:dyDescent="0.2">
      <c r="A73" s="39">
        <v>68</v>
      </c>
      <c r="B73" s="39" t="s">
        <v>82</v>
      </c>
      <c r="C73" s="39" t="s">
        <v>221</v>
      </c>
      <c r="D73" s="39"/>
      <c r="E73" s="39"/>
      <c r="F73" s="39" t="s">
        <v>225</v>
      </c>
      <c r="G73" s="39" t="s">
        <v>85</v>
      </c>
      <c r="H73" s="39" t="s">
        <v>297</v>
      </c>
      <c r="I73" s="39" t="s">
        <v>226</v>
      </c>
      <c r="J73" s="39" t="s">
        <v>28</v>
      </c>
      <c r="K73" s="39">
        <v>0.05</v>
      </c>
      <c r="L73" s="40">
        <v>46180</v>
      </c>
      <c r="M73" s="41">
        <v>0.64583333333333337</v>
      </c>
      <c r="N73" s="40">
        <v>46180</v>
      </c>
      <c r="O73" s="41">
        <v>0.70833333333333337</v>
      </c>
      <c r="P73" s="42">
        <v>250</v>
      </c>
      <c r="Q73" s="42">
        <v>0</v>
      </c>
      <c r="R73" s="39" t="s">
        <v>224</v>
      </c>
      <c r="S73" s="39" t="s">
        <v>4</v>
      </c>
      <c r="T73" s="43">
        <v>130</v>
      </c>
      <c r="U73" s="44">
        <v>130</v>
      </c>
      <c r="V73" s="43">
        <v>75</v>
      </c>
      <c r="W73" s="45">
        <v>6.75</v>
      </c>
      <c r="X73" s="45" t="s">
        <v>457</v>
      </c>
      <c r="Y73" s="39"/>
      <c r="Z73" s="71" t="s">
        <v>401</v>
      </c>
    </row>
    <row r="74" spans="1:26" s="38" customFormat="1" ht="40.799999999999997" x14ac:dyDescent="0.2">
      <c r="A74" s="39">
        <v>69</v>
      </c>
      <c r="B74" s="39" t="s">
        <v>82</v>
      </c>
      <c r="C74" s="39" t="s">
        <v>227</v>
      </c>
      <c r="D74" s="39"/>
      <c r="E74" s="39"/>
      <c r="F74" s="39" t="s">
        <v>228</v>
      </c>
      <c r="G74" s="39" t="s">
        <v>85</v>
      </c>
      <c r="H74" s="39" t="s">
        <v>297</v>
      </c>
      <c r="I74" s="39" t="s">
        <v>229</v>
      </c>
      <c r="J74" s="39" t="s">
        <v>28</v>
      </c>
      <c r="K74" s="39">
        <v>1.5</v>
      </c>
      <c r="L74" s="40">
        <v>46179</v>
      </c>
      <c r="M74" s="41">
        <v>0.375</v>
      </c>
      <c r="N74" s="40">
        <v>46179</v>
      </c>
      <c r="O74" s="41">
        <v>0.5</v>
      </c>
      <c r="P74" s="42">
        <v>16134.49</v>
      </c>
      <c r="Q74" s="42">
        <v>2063.54</v>
      </c>
      <c r="R74" s="39" t="s">
        <v>230</v>
      </c>
      <c r="S74" s="47" t="s">
        <v>4</v>
      </c>
      <c r="T74" s="43">
        <v>41</v>
      </c>
      <c r="U74" s="44">
        <v>41</v>
      </c>
      <c r="V74" s="43">
        <v>4500</v>
      </c>
      <c r="W74" s="45">
        <v>405</v>
      </c>
      <c r="X74" s="45" t="s">
        <v>428</v>
      </c>
      <c r="Y74" s="39"/>
      <c r="Z74" s="71" t="s">
        <v>402</v>
      </c>
    </row>
    <row r="75" spans="1:26" s="38" customFormat="1" ht="30.6" x14ac:dyDescent="0.2">
      <c r="A75" s="39">
        <v>70</v>
      </c>
      <c r="B75" s="39" t="s">
        <v>82</v>
      </c>
      <c r="C75" s="39" t="s">
        <v>231</v>
      </c>
      <c r="D75" s="39"/>
      <c r="E75" s="39"/>
      <c r="F75" s="39" t="s">
        <v>232</v>
      </c>
      <c r="G75" s="39" t="s">
        <v>85</v>
      </c>
      <c r="H75" s="39" t="s">
        <v>232</v>
      </c>
      <c r="I75" s="39" t="s">
        <v>233</v>
      </c>
      <c r="J75" s="39" t="s">
        <v>28</v>
      </c>
      <c r="K75" s="39">
        <v>0.05</v>
      </c>
      <c r="L75" s="40">
        <v>46172</v>
      </c>
      <c r="M75" s="41">
        <v>0.58333333333333337</v>
      </c>
      <c r="N75" s="40">
        <v>46172</v>
      </c>
      <c r="O75" s="41">
        <v>0.70833333333333337</v>
      </c>
      <c r="P75" s="42">
        <v>3854.48</v>
      </c>
      <c r="Q75" s="42">
        <v>0</v>
      </c>
      <c r="R75" s="39" t="s">
        <v>234</v>
      </c>
      <c r="S75" s="47" t="s">
        <v>4</v>
      </c>
      <c r="T75" s="43">
        <v>64</v>
      </c>
      <c r="U75" s="44">
        <v>64</v>
      </c>
      <c r="V75" s="43">
        <v>150</v>
      </c>
      <c r="W75" s="45">
        <v>13.5</v>
      </c>
      <c r="X75" s="45" t="s">
        <v>458</v>
      </c>
      <c r="Y75" s="39"/>
      <c r="Z75" s="71" t="s">
        <v>403</v>
      </c>
    </row>
    <row r="76" spans="1:26" s="38" customFormat="1" ht="20.399999999999999" x14ac:dyDescent="0.2">
      <c r="A76" s="39">
        <v>71</v>
      </c>
      <c r="B76" s="39" t="s">
        <v>82</v>
      </c>
      <c r="C76" s="39" t="s">
        <v>235</v>
      </c>
      <c r="D76" s="39"/>
      <c r="E76" s="39"/>
      <c r="F76" s="39" t="s">
        <v>222</v>
      </c>
      <c r="G76" s="39" t="s">
        <v>85</v>
      </c>
      <c r="H76" s="39" t="s">
        <v>297</v>
      </c>
      <c r="I76" s="39" t="s">
        <v>223</v>
      </c>
      <c r="J76" s="39" t="s">
        <v>28</v>
      </c>
      <c r="K76" s="39">
        <v>0.05</v>
      </c>
      <c r="L76" s="40">
        <v>46172</v>
      </c>
      <c r="M76" s="41">
        <v>0.39583333333333331</v>
      </c>
      <c r="N76" s="40">
        <v>46172</v>
      </c>
      <c r="O76" s="41">
        <v>0.45833333333333331</v>
      </c>
      <c r="P76" s="42">
        <v>250</v>
      </c>
      <c r="Q76" s="42">
        <v>0</v>
      </c>
      <c r="R76" s="39" t="s">
        <v>224</v>
      </c>
      <c r="S76" s="47" t="s">
        <v>4</v>
      </c>
      <c r="T76" s="43">
        <v>64</v>
      </c>
      <c r="U76" s="44">
        <v>64</v>
      </c>
      <c r="V76" s="43">
        <v>75</v>
      </c>
      <c r="W76" s="45">
        <v>6.75</v>
      </c>
      <c r="X76" s="45" t="s">
        <v>457</v>
      </c>
      <c r="Y76" s="39"/>
      <c r="Z76" s="71" t="s">
        <v>404</v>
      </c>
    </row>
    <row r="77" spans="1:26" s="38" customFormat="1" ht="20.399999999999999" x14ac:dyDescent="0.2">
      <c r="A77" s="39">
        <v>72</v>
      </c>
      <c r="B77" s="39" t="s">
        <v>82</v>
      </c>
      <c r="C77" s="39" t="s">
        <v>236</v>
      </c>
      <c r="D77" s="39"/>
      <c r="E77" s="39"/>
      <c r="F77" s="39" t="s">
        <v>222</v>
      </c>
      <c r="G77" s="39" t="s">
        <v>85</v>
      </c>
      <c r="H77" s="39" t="s">
        <v>297</v>
      </c>
      <c r="I77" s="39" t="s">
        <v>223</v>
      </c>
      <c r="J77" s="39" t="s">
        <v>28</v>
      </c>
      <c r="K77" s="39">
        <v>0.05</v>
      </c>
      <c r="L77" s="40">
        <v>46180</v>
      </c>
      <c r="M77" s="41">
        <v>0.52083333333333337</v>
      </c>
      <c r="N77" s="40">
        <v>46180</v>
      </c>
      <c r="O77" s="41">
        <v>0.58333333333333337</v>
      </c>
      <c r="P77" s="42">
        <v>250</v>
      </c>
      <c r="Q77" s="42">
        <v>0</v>
      </c>
      <c r="R77" s="39" t="s">
        <v>224</v>
      </c>
      <c r="S77" s="47" t="s">
        <v>4</v>
      </c>
      <c r="T77" s="43">
        <v>45</v>
      </c>
      <c r="U77" s="44">
        <v>45</v>
      </c>
      <c r="V77" s="43">
        <v>75</v>
      </c>
      <c r="W77" s="45">
        <v>6.75</v>
      </c>
      <c r="X77" s="45" t="s">
        <v>457</v>
      </c>
      <c r="Y77" s="39"/>
      <c r="Z77" s="71" t="s">
        <v>401</v>
      </c>
    </row>
    <row r="78" spans="1:26" s="38" customFormat="1" ht="20.399999999999999" x14ac:dyDescent="0.2">
      <c r="A78" s="39">
        <v>73</v>
      </c>
      <c r="B78" s="39" t="s">
        <v>82</v>
      </c>
      <c r="C78" s="39" t="s">
        <v>237</v>
      </c>
      <c r="D78" s="39"/>
      <c r="E78" s="39"/>
      <c r="F78" s="39" t="s">
        <v>225</v>
      </c>
      <c r="G78" s="39" t="s">
        <v>85</v>
      </c>
      <c r="H78" s="39" t="s">
        <v>297</v>
      </c>
      <c r="I78" s="39" t="s">
        <v>226</v>
      </c>
      <c r="J78" s="39" t="s">
        <v>28</v>
      </c>
      <c r="K78" s="39">
        <v>0.05</v>
      </c>
      <c r="L78" s="40">
        <v>46180</v>
      </c>
      <c r="M78" s="41">
        <v>0.39583333333333331</v>
      </c>
      <c r="N78" s="40">
        <v>46180</v>
      </c>
      <c r="O78" s="41">
        <v>0.45833333333333331</v>
      </c>
      <c r="P78" s="42">
        <v>100</v>
      </c>
      <c r="Q78" s="42">
        <v>0</v>
      </c>
      <c r="R78" s="39" t="s">
        <v>224</v>
      </c>
      <c r="S78" s="47" t="s">
        <v>4</v>
      </c>
      <c r="T78" s="43">
        <v>32</v>
      </c>
      <c r="U78" s="44">
        <v>32</v>
      </c>
      <c r="V78" s="43">
        <v>75</v>
      </c>
      <c r="W78" s="45">
        <v>6.75</v>
      </c>
      <c r="X78" s="45" t="s">
        <v>459</v>
      </c>
      <c r="Y78" s="39"/>
      <c r="Z78" s="71" t="s">
        <v>405</v>
      </c>
    </row>
    <row r="79" spans="1:26" s="38" customFormat="1" ht="20.399999999999999" x14ac:dyDescent="0.2">
      <c r="A79" s="39">
        <v>74</v>
      </c>
      <c r="B79" s="39" t="s">
        <v>82</v>
      </c>
      <c r="C79" s="39" t="s">
        <v>238</v>
      </c>
      <c r="D79" s="39"/>
      <c r="E79" s="39"/>
      <c r="F79" s="39" t="s">
        <v>225</v>
      </c>
      <c r="G79" s="39" t="s">
        <v>85</v>
      </c>
      <c r="H79" s="39" t="s">
        <v>297</v>
      </c>
      <c r="I79" s="39" t="s">
        <v>226</v>
      </c>
      <c r="J79" s="39" t="s">
        <v>28</v>
      </c>
      <c r="K79" s="39">
        <v>0.05</v>
      </c>
      <c r="L79" s="40">
        <v>46180</v>
      </c>
      <c r="M79" s="41">
        <v>0.33333333333333331</v>
      </c>
      <c r="N79" s="40">
        <v>46180</v>
      </c>
      <c r="O79" s="41">
        <v>0.39583333333333331</v>
      </c>
      <c r="P79" s="42">
        <v>250</v>
      </c>
      <c r="Q79" s="42">
        <v>0</v>
      </c>
      <c r="R79" s="39" t="s">
        <v>224</v>
      </c>
      <c r="S79" s="47" t="s">
        <v>4</v>
      </c>
      <c r="T79" s="43">
        <v>14</v>
      </c>
      <c r="U79" s="44">
        <v>14</v>
      </c>
      <c r="V79" s="43">
        <v>75</v>
      </c>
      <c r="W79" s="45">
        <v>6.75</v>
      </c>
      <c r="X79" s="45" t="s">
        <v>460</v>
      </c>
      <c r="Y79" s="39"/>
      <c r="Z79" s="71" t="s">
        <v>406</v>
      </c>
    </row>
    <row r="80" spans="1:26" s="38" customFormat="1" ht="20.399999999999999" x14ac:dyDescent="0.2">
      <c r="A80" s="39">
        <v>75</v>
      </c>
      <c r="B80" s="39" t="s">
        <v>82</v>
      </c>
      <c r="C80" s="39" t="s">
        <v>239</v>
      </c>
      <c r="D80" s="39"/>
      <c r="E80" s="39"/>
      <c r="F80" s="39" t="s">
        <v>225</v>
      </c>
      <c r="G80" s="39" t="s">
        <v>85</v>
      </c>
      <c r="H80" s="39" t="s">
        <v>297</v>
      </c>
      <c r="I80" s="39" t="s">
        <v>226</v>
      </c>
      <c r="J80" s="39" t="s">
        <v>28</v>
      </c>
      <c r="K80" s="39">
        <v>0.05</v>
      </c>
      <c r="L80" s="40">
        <v>46179</v>
      </c>
      <c r="M80" s="41">
        <v>0.39583333333333331</v>
      </c>
      <c r="N80" s="40">
        <v>46179</v>
      </c>
      <c r="O80" s="41">
        <v>0.45833333333333331</v>
      </c>
      <c r="P80" s="42">
        <v>80</v>
      </c>
      <c r="Q80" s="42">
        <v>0</v>
      </c>
      <c r="R80" s="39" t="s">
        <v>224</v>
      </c>
      <c r="S80" s="47" t="s">
        <v>4</v>
      </c>
      <c r="T80" s="43">
        <v>87</v>
      </c>
      <c r="U80" s="44">
        <v>87</v>
      </c>
      <c r="V80" s="43">
        <v>75</v>
      </c>
      <c r="W80" s="45">
        <v>6.75</v>
      </c>
      <c r="X80" s="45" t="s">
        <v>461</v>
      </c>
      <c r="Y80" s="39"/>
      <c r="Z80" s="71" t="s">
        <v>407</v>
      </c>
    </row>
    <row r="81" spans="1:26" s="38" customFormat="1" ht="20.399999999999999" x14ac:dyDescent="0.2">
      <c r="A81" s="39">
        <v>76</v>
      </c>
      <c r="B81" s="39" t="s">
        <v>82</v>
      </c>
      <c r="C81" s="39" t="s">
        <v>239</v>
      </c>
      <c r="D81" s="39"/>
      <c r="E81" s="39"/>
      <c r="F81" s="39" t="s">
        <v>225</v>
      </c>
      <c r="G81" s="39" t="s">
        <v>85</v>
      </c>
      <c r="H81" s="39" t="s">
        <v>297</v>
      </c>
      <c r="I81" s="39" t="s">
        <v>226</v>
      </c>
      <c r="J81" s="39" t="s">
        <v>28</v>
      </c>
      <c r="K81" s="39">
        <v>0.05</v>
      </c>
      <c r="L81" s="40">
        <v>46179</v>
      </c>
      <c r="M81" s="41">
        <v>0.45833333333333331</v>
      </c>
      <c r="N81" s="40">
        <v>46179</v>
      </c>
      <c r="O81" s="41">
        <v>0.52083333333333337</v>
      </c>
      <c r="P81" s="42">
        <v>80</v>
      </c>
      <c r="Q81" s="42">
        <v>0</v>
      </c>
      <c r="R81" s="39" t="s">
        <v>224</v>
      </c>
      <c r="S81" s="47" t="s">
        <v>4</v>
      </c>
      <c r="T81" s="43">
        <v>25</v>
      </c>
      <c r="U81" s="44">
        <v>25</v>
      </c>
      <c r="V81" s="43">
        <v>75.000000000000071</v>
      </c>
      <c r="W81" s="45">
        <v>6.7500000000000062</v>
      </c>
      <c r="X81" s="45" t="s">
        <v>461</v>
      </c>
      <c r="Y81" s="39"/>
      <c r="Z81" s="71" t="s">
        <v>407</v>
      </c>
    </row>
    <row r="82" spans="1:26" s="38" customFormat="1" ht="20.399999999999999" x14ac:dyDescent="0.2">
      <c r="A82" s="39">
        <v>77</v>
      </c>
      <c r="B82" s="39" t="s">
        <v>82</v>
      </c>
      <c r="C82" s="39" t="s">
        <v>240</v>
      </c>
      <c r="D82" s="39"/>
      <c r="E82" s="39"/>
      <c r="F82" s="39" t="s">
        <v>225</v>
      </c>
      <c r="G82" s="39" t="s">
        <v>85</v>
      </c>
      <c r="H82" s="39" t="s">
        <v>297</v>
      </c>
      <c r="I82" s="39" t="s">
        <v>226</v>
      </c>
      <c r="J82" s="39" t="s">
        <v>28</v>
      </c>
      <c r="K82" s="39">
        <v>0.05</v>
      </c>
      <c r="L82" s="40">
        <v>46180</v>
      </c>
      <c r="M82" s="41">
        <v>0.58333333333333337</v>
      </c>
      <c r="N82" s="40">
        <v>46180</v>
      </c>
      <c r="O82" s="41">
        <v>0.64583333333333337</v>
      </c>
      <c r="P82" s="42">
        <v>250</v>
      </c>
      <c r="Q82" s="42">
        <v>0</v>
      </c>
      <c r="R82" s="39" t="s">
        <v>224</v>
      </c>
      <c r="S82" s="47" t="s">
        <v>4</v>
      </c>
      <c r="T82" s="43">
        <v>97</v>
      </c>
      <c r="U82" s="44">
        <v>97</v>
      </c>
      <c r="V82" s="43">
        <v>75</v>
      </c>
      <c r="W82" s="45">
        <v>6.75</v>
      </c>
      <c r="X82" s="45" t="s">
        <v>461</v>
      </c>
      <c r="Y82" s="39"/>
      <c r="Z82" s="71" t="s">
        <v>408</v>
      </c>
    </row>
    <row r="83" spans="1:26" s="38" customFormat="1" ht="20.399999999999999" x14ac:dyDescent="0.2">
      <c r="A83" s="39">
        <v>78</v>
      </c>
      <c r="B83" s="39" t="s">
        <v>82</v>
      </c>
      <c r="C83" s="39" t="s">
        <v>241</v>
      </c>
      <c r="D83" s="39"/>
      <c r="E83" s="39"/>
      <c r="F83" s="39" t="s">
        <v>222</v>
      </c>
      <c r="G83" s="39" t="s">
        <v>85</v>
      </c>
      <c r="H83" s="39" t="s">
        <v>297</v>
      </c>
      <c r="I83" s="39" t="s">
        <v>223</v>
      </c>
      <c r="J83" s="39" t="s">
        <v>28</v>
      </c>
      <c r="K83" s="39">
        <v>0.05</v>
      </c>
      <c r="L83" s="40">
        <v>46172</v>
      </c>
      <c r="M83" s="41">
        <v>0.52083333333333337</v>
      </c>
      <c r="N83" s="40">
        <v>46172</v>
      </c>
      <c r="O83" s="41">
        <v>0.58333333333333337</v>
      </c>
      <c r="P83" s="42">
        <v>250</v>
      </c>
      <c r="Q83" s="42">
        <v>0</v>
      </c>
      <c r="R83" s="39" t="s">
        <v>224</v>
      </c>
      <c r="S83" s="47" t="s">
        <v>4</v>
      </c>
      <c r="T83" s="43">
        <v>24</v>
      </c>
      <c r="U83" s="44">
        <v>24</v>
      </c>
      <c r="V83" s="43">
        <v>75</v>
      </c>
      <c r="W83" s="45">
        <v>6.75</v>
      </c>
      <c r="X83" s="45" t="s">
        <v>461</v>
      </c>
      <c r="Y83" s="39"/>
      <c r="Z83" s="71" t="s">
        <v>409</v>
      </c>
    </row>
    <row r="84" spans="1:26" s="38" customFormat="1" ht="20.399999999999999" x14ac:dyDescent="0.2">
      <c r="A84" s="39">
        <v>79</v>
      </c>
      <c r="B84" s="39" t="s">
        <v>82</v>
      </c>
      <c r="C84" s="39" t="s">
        <v>242</v>
      </c>
      <c r="D84" s="39"/>
      <c r="E84" s="39"/>
      <c r="F84" s="39" t="s">
        <v>225</v>
      </c>
      <c r="G84" s="39" t="s">
        <v>85</v>
      </c>
      <c r="H84" s="39" t="s">
        <v>297</v>
      </c>
      <c r="I84" s="39" t="s">
        <v>226</v>
      </c>
      <c r="J84" s="39" t="s">
        <v>28</v>
      </c>
      <c r="K84" s="39">
        <v>0.05</v>
      </c>
      <c r="L84" s="40">
        <v>46179</v>
      </c>
      <c r="M84" s="41">
        <v>0.58333333333333337</v>
      </c>
      <c r="N84" s="40">
        <v>46179</v>
      </c>
      <c r="O84" s="41">
        <v>0.64583333333333337</v>
      </c>
      <c r="P84" s="42">
        <v>250</v>
      </c>
      <c r="Q84" s="42">
        <v>0</v>
      </c>
      <c r="R84" s="39" t="s">
        <v>224</v>
      </c>
      <c r="S84" s="47" t="s">
        <v>4</v>
      </c>
      <c r="T84" s="43">
        <v>24</v>
      </c>
      <c r="U84" s="44">
        <v>24</v>
      </c>
      <c r="V84" s="43">
        <v>75</v>
      </c>
      <c r="W84" s="45">
        <v>6.75</v>
      </c>
      <c r="X84" s="45" t="s">
        <v>461</v>
      </c>
      <c r="Y84" s="39"/>
      <c r="Z84" s="71" t="s">
        <v>407</v>
      </c>
    </row>
    <row r="85" spans="1:26" s="38" customFormat="1" ht="20.399999999999999" x14ac:dyDescent="0.2">
      <c r="A85" s="39">
        <v>80</v>
      </c>
      <c r="B85" s="39" t="s">
        <v>82</v>
      </c>
      <c r="C85" s="39" t="s">
        <v>243</v>
      </c>
      <c r="D85" s="39"/>
      <c r="E85" s="39"/>
      <c r="F85" s="39" t="s">
        <v>225</v>
      </c>
      <c r="G85" s="39" t="s">
        <v>85</v>
      </c>
      <c r="H85" s="39" t="s">
        <v>297</v>
      </c>
      <c r="I85" s="39" t="s">
        <v>226</v>
      </c>
      <c r="J85" s="39" t="s">
        <v>28</v>
      </c>
      <c r="K85" s="39">
        <v>0.05</v>
      </c>
      <c r="L85" s="40">
        <v>46179</v>
      </c>
      <c r="M85" s="41">
        <v>0.33333333333333331</v>
      </c>
      <c r="N85" s="40">
        <v>46179</v>
      </c>
      <c r="O85" s="41">
        <v>0.39583333333333331</v>
      </c>
      <c r="P85" s="42">
        <v>200</v>
      </c>
      <c r="Q85" s="42">
        <v>0</v>
      </c>
      <c r="R85" s="39" t="s">
        <v>224</v>
      </c>
      <c r="S85" s="47" t="s">
        <v>4</v>
      </c>
      <c r="T85" s="43">
        <v>72</v>
      </c>
      <c r="U85" s="44">
        <v>72</v>
      </c>
      <c r="V85" s="43">
        <v>75</v>
      </c>
      <c r="W85" s="45">
        <v>6.75</v>
      </c>
      <c r="X85" s="45" t="s">
        <v>460</v>
      </c>
      <c r="Y85" s="39"/>
      <c r="Z85" s="71" t="s">
        <v>407</v>
      </c>
    </row>
    <row r="86" spans="1:26" s="38" customFormat="1" ht="20.399999999999999" x14ac:dyDescent="0.2">
      <c r="A86" s="39">
        <v>81</v>
      </c>
      <c r="B86" s="39" t="s">
        <v>82</v>
      </c>
      <c r="C86" s="39" t="s">
        <v>243</v>
      </c>
      <c r="D86" s="39"/>
      <c r="E86" s="39"/>
      <c r="F86" s="39" t="s">
        <v>225</v>
      </c>
      <c r="G86" s="39" t="s">
        <v>85</v>
      </c>
      <c r="H86" s="39" t="s">
        <v>297</v>
      </c>
      <c r="I86" s="39" t="s">
        <v>226</v>
      </c>
      <c r="J86" s="39" t="s">
        <v>28</v>
      </c>
      <c r="K86" s="39">
        <v>0.05</v>
      </c>
      <c r="L86" s="40">
        <v>46179</v>
      </c>
      <c r="M86" s="41">
        <v>0.64583333333333337</v>
      </c>
      <c r="N86" s="40">
        <v>46179</v>
      </c>
      <c r="O86" s="41">
        <v>0.70833333333333337</v>
      </c>
      <c r="P86" s="42">
        <v>250</v>
      </c>
      <c r="Q86" s="42">
        <v>0</v>
      </c>
      <c r="R86" s="39" t="s">
        <v>224</v>
      </c>
      <c r="S86" s="47" t="s">
        <v>4</v>
      </c>
      <c r="T86" s="43">
        <v>26</v>
      </c>
      <c r="U86" s="44">
        <v>26</v>
      </c>
      <c r="V86" s="43">
        <v>75</v>
      </c>
      <c r="W86" s="45">
        <v>6.75</v>
      </c>
      <c r="X86" s="45" t="s">
        <v>460</v>
      </c>
      <c r="Y86" s="39"/>
      <c r="Z86" s="71" t="s">
        <v>407</v>
      </c>
    </row>
    <row r="87" spans="1:26" s="38" customFormat="1" ht="40.799999999999997" x14ac:dyDescent="0.2">
      <c r="A87" s="39">
        <v>82</v>
      </c>
      <c r="B87" s="39" t="s">
        <v>142</v>
      </c>
      <c r="C87" s="39" t="s">
        <v>248</v>
      </c>
      <c r="D87" s="39"/>
      <c r="E87" s="39"/>
      <c r="F87" s="39" t="s">
        <v>249</v>
      </c>
      <c r="G87" s="39" t="s">
        <v>145</v>
      </c>
      <c r="H87" s="39" t="s">
        <v>295</v>
      </c>
      <c r="I87" s="39" t="s">
        <v>250</v>
      </c>
      <c r="J87" s="39" t="s">
        <v>251</v>
      </c>
      <c r="K87" s="39">
        <v>0.6</v>
      </c>
      <c r="L87" s="40">
        <v>46172</v>
      </c>
      <c r="M87" s="41">
        <v>0.58333333333333337</v>
      </c>
      <c r="N87" s="40">
        <v>46172</v>
      </c>
      <c r="O87" s="41">
        <v>0.70833333333333337</v>
      </c>
      <c r="P87" s="48">
        <v>290410.31</v>
      </c>
      <c r="Q87" s="42">
        <v>0</v>
      </c>
      <c r="R87" s="39" t="s">
        <v>148</v>
      </c>
      <c r="S87" s="39" t="s">
        <v>4</v>
      </c>
      <c r="T87" s="43">
        <v>1285</v>
      </c>
      <c r="U87" s="44">
        <v>1285</v>
      </c>
      <c r="V87" s="43">
        <v>1800</v>
      </c>
      <c r="W87" s="45">
        <v>162</v>
      </c>
      <c r="X87" s="45" t="s">
        <v>452</v>
      </c>
      <c r="Y87" s="39"/>
      <c r="Z87" s="71" t="s">
        <v>349</v>
      </c>
    </row>
    <row r="88" spans="1:26" s="38" customFormat="1" ht="40.799999999999997" x14ac:dyDescent="0.2">
      <c r="A88" s="39">
        <v>83</v>
      </c>
      <c r="B88" s="39" t="s">
        <v>142</v>
      </c>
      <c r="C88" s="39" t="s">
        <v>248</v>
      </c>
      <c r="D88" s="39"/>
      <c r="E88" s="39"/>
      <c r="F88" s="39" t="s">
        <v>249</v>
      </c>
      <c r="G88" s="39" t="s">
        <v>145</v>
      </c>
      <c r="H88" s="39" t="s">
        <v>295</v>
      </c>
      <c r="I88" s="39" t="s">
        <v>250</v>
      </c>
      <c r="J88" s="39" t="s">
        <v>251</v>
      </c>
      <c r="K88" s="39">
        <v>0.6</v>
      </c>
      <c r="L88" s="40">
        <v>46173</v>
      </c>
      <c r="M88" s="41">
        <v>0.58333333333333337</v>
      </c>
      <c r="N88" s="40">
        <v>46173</v>
      </c>
      <c r="O88" s="41">
        <v>0.70833333333333337</v>
      </c>
      <c r="P88" s="48">
        <v>290410.31</v>
      </c>
      <c r="Q88" s="42">
        <v>0</v>
      </c>
      <c r="R88" s="39" t="s">
        <v>148</v>
      </c>
      <c r="S88" s="39" t="s">
        <v>4</v>
      </c>
      <c r="T88" s="43">
        <v>1285</v>
      </c>
      <c r="U88" s="44">
        <v>1285</v>
      </c>
      <c r="V88" s="43">
        <v>1800</v>
      </c>
      <c r="W88" s="45">
        <v>162</v>
      </c>
      <c r="X88" s="45" t="s">
        <v>452</v>
      </c>
      <c r="Y88" s="39"/>
      <c r="Z88" s="71" t="s">
        <v>349</v>
      </c>
    </row>
    <row r="89" spans="1:26" s="38" customFormat="1" ht="40.799999999999997" x14ac:dyDescent="0.2">
      <c r="A89" s="39">
        <v>84</v>
      </c>
      <c r="B89" s="39" t="s">
        <v>142</v>
      </c>
      <c r="C89" s="39" t="s">
        <v>248</v>
      </c>
      <c r="D89" s="39"/>
      <c r="E89" s="39"/>
      <c r="F89" s="39" t="s">
        <v>252</v>
      </c>
      <c r="G89" s="39" t="s">
        <v>145</v>
      </c>
      <c r="H89" s="39" t="s">
        <v>295</v>
      </c>
      <c r="I89" s="39" t="s">
        <v>253</v>
      </c>
      <c r="J89" s="39" t="s">
        <v>251</v>
      </c>
      <c r="K89" s="39">
        <v>1.2</v>
      </c>
      <c r="L89" s="40">
        <v>46179</v>
      </c>
      <c r="M89" s="41">
        <v>0.58333333333333337</v>
      </c>
      <c r="N89" s="40">
        <v>46179</v>
      </c>
      <c r="O89" s="41">
        <v>0.70833333333333337</v>
      </c>
      <c r="P89" s="48">
        <v>290410.31</v>
      </c>
      <c r="Q89" s="42">
        <v>0</v>
      </c>
      <c r="R89" s="39" t="s">
        <v>148</v>
      </c>
      <c r="S89" s="39" t="s">
        <v>4</v>
      </c>
      <c r="T89" s="43">
        <v>1623</v>
      </c>
      <c r="U89" s="44">
        <v>1623</v>
      </c>
      <c r="V89" s="43">
        <v>3600</v>
      </c>
      <c r="W89" s="45">
        <v>324</v>
      </c>
      <c r="X89" s="45" t="s">
        <v>452</v>
      </c>
      <c r="Y89" s="39"/>
      <c r="Z89" s="71" t="s">
        <v>350</v>
      </c>
    </row>
    <row r="90" spans="1:26" s="38" customFormat="1" ht="40.799999999999997" x14ac:dyDescent="0.2">
      <c r="A90" s="39">
        <v>85</v>
      </c>
      <c r="B90" s="39" t="s">
        <v>142</v>
      </c>
      <c r="C90" s="39" t="s">
        <v>248</v>
      </c>
      <c r="D90" s="39"/>
      <c r="E90" s="39"/>
      <c r="F90" s="75" t="s">
        <v>252</v>
      </c>
      <c r="G90" s="75" t="s">
        <v>145</v>
      </c>
      <c r="H90" s="75" t="s">
        <v>295</v>
      </c>
      <c r="I90" s="75" t="s">
        <v>253</v>
      </c>
      <c r="J90" s="75" t="s">
        <v>251</v>
      </c>
      <c r="K90" s="75">
        <v>1.2</v>
      </c>
      <c r="L90" s="76">
        <v>46180</v>
      </c>
      <c r="M90" s="77">
        <v>0.58333333333333337</v>
      </c>
      <c r="N90" s="76">
        <v>46180</v>
      </c>
      <c r="O90" s="77">
        <v>0.70833333333333337</v>
      </c>
      <c r="P90" s="48">
        <v>290410.31</v>
      </c>
      <c r="Q90" s="42">
        <v>0</v>
      </c>
      <c r="R90" s="39" t="s">
        <v>148</v>
      </c>
      <c r="S90" s="39" t="s">
        <v>4</v>
      </c>
      <c r="T90" s="43">
        <v>1623</v>
      </c>
      <c r="U90" s="44">
        <v>1623</v>
      </c>
      <c r="V90" s="43">
        <v>3600</v>
      </c>
      <c r="W90" s="45">
        <v>324</v>
      </c>
      <c r="X90" s="45" t="s">
        <v>452</v>
      </c>
      <c r="Y90" s="39"/>
      <c r="Z90" s="71" t="s">
        <v>350</v>
      </c>
    </row>
    <row r="91" spans="1:26" s="38" customFormat="1" ht="49.5" customHeight="1" x14ac:dyDescent="0.2">
      <c r="A91" s="39">
        <v>86</v>
      </c>
      <c r="B91" s="39" t="s">
        <v>254</v>
      </c>
      <c r="C91" s="39" t="s">
        <v>473</v>
      </c>
      <c r="D91" s="39"/>
      <c r="E91" s="39"/>
      <c r="F91" s="75" t="s">
        <v>258</v>
      </c>
      <c r="G91" s="75" t="s">
        <v>59</v>
      </c>
      <c r="H91" s="75" t="s">
        <v>265</v>
      </c>
      <c r="I91" s="75" t="s">
        <v>259</v>
      </c>
      <c r="J91" s="75" t="s">
        <v>28</v>
      </c>
      <c r="K91" s="78">
        <v>0.16700000000000001</v>
      </c>
      <c r="L91" s="76">
        <v>46173</v>
      </c>
      <c r="M91" s="77">
        <v>2.0833333333333332E-2</v>
      </c>
      <c r="N91" s="76">
        <v>46173</v>
      </c>
      <c r="O91" s="77">
        <v>0.14583333333333334</v>
      </c>
      <c r="P91" s="42">
        <v>5100</v>
      </c>
      <c r="Q91" s="51">
        <v>22699.16</v>
      </c>
      <c r="R91" s="39" t="s">
        <v>148</v>
      </c>
      <c r="S91" s="39" t="s">
        <v>4</v>
      </c>
      <c r="T91" s="43">
        <v>150</v>
      </c>
      <c r="U91" s="44">
        <v>659</v>
      </c>
      <c r="V91" s="43">
        <v>501</v>
      </c>
      <c r="W91" s="45">
        <v>45.089999999999996</v>
      </c>
      <c r="X91" s="45" t="s">
        <v>255</v>
      </c>
      <c r="Y91" s="39"/>
      <c r="Z91" s="73" t="s">
        <v>341</v>
      </c>
    </row>
    <row r="92" spans="1:26" s="38" customFormat="1" ht="55.5" customHeight="1" x14ac:dyDescent="0.2">
      <c r="A92" s="39">
        <v>87</v>
      </c>
      <c r="B92" s="39" t="s">
        <v>254</v>
      </c>
      <c r="C92" s="39" t="s">
        <v>472</v>
      </c>
      <c r="D92" s="49"/>
      <c r="E92" s="39"/>
      <c r="F92" s="75" t="s">
        <v>260</v>
      </c>
      <c r="G92" s="75" t="s">
        <v>59</v>
      </c>
      <c r="H92" s="75" t="s">
        <v>265</v>
      </c>
      <c r="I92" s="75" t="s">
        <v>261</v>
      </c>
      <c r="J92" s="75" t="s">
        <v>28</v>
      </c>
      <c r="K92" s="83">
        <v>0.4</v>
      </c>
      <c r="L92" s="76">
        <v>46173</v>
      </c>
      <c r="M92" s="77">
        <v>0.22916666666666666</v>
      </c>
      <c r="N92" s="76">
        <v>46173</v>
      </c>
      <c r="O92" s="77">
        <v>0.3125</v>
      </c>
      <c r="P92" s="42">
        <v>4950</v>
      </c>
      <c r="Q92" s="51">
        <v>22699.16</v>
      </c>
      <c r="R92" s="39" t="s">
        <v>148</v>
      </c>
      <c r="S92" s="39" t="s">
        <v>4</v>
      </c>
      <c r="T92" s="43">
        <v>150</v>
      </c>
      <c r="U92" s="44">
        <v>518</v>
      </c>
      <c r="V92" s="43">
        <v>501</v>
      </c>
      <c r="W92" s="45">
        <v>45.089999999999996</v>
      </c>
      <c r="X92" s="45" t="s">
        <v>255</v>
      </c>
      <c r="Y92" s="39"/>
      <c r="Z92" s="73" t="s">
        <v>342</v>
      </c>
    </row>
    <row r="93" spans="1:26" s="38" customFormat="1" ht="40.5" customHeight="1" x14ac:dyDescent="0.2">
      <c r="A93" s="39">
        <v>88</v>
      </c>
      <c r="B93" s="39" t="s">
        <v>100</v>
      </c>
      <c r="C93" s="39" t="s">
        <v>262</v>
      </c>
      <c r="D93" s="39"/>
      <c r="E93" s="39" t="s">
        <v>263</v>
      </c>
      <c r="F93" s="75"/>
      <c r="G93" s="75" t="s">
        <v>45</v>
      </c>
      <c r="H93" s="75" t="s">
        <v>296</v>
      </c>
      <c r="I93" s="75" t="s">
        <v>264</v>
      </c>
      <c r="J93" s="75" t="s">
        <v>41</v>
      </c>
      <c r="K93" s="75">
        <v>3</v>
      </c>
      <c r="L93" s="76">
        <v>46179</v>
      </c>
      <c r="M93" s="77">
        <v>0.25</v>
      </c>
      <c r="N93" s="76">
        <v>46179</v>
      </c>
      <c r="O93" s="77">
        <v>0.35416666666666669</v>
      </c>
      <c r="P93" s="42">
        <v>3665.24</v>
      </c>
      <c r="Q93" s="42">
        <v>0</v>
      </c>
      <c r="R93" s="39" t="s">
        <v>112</v>
      </c>
      <c r="S93" s="47" t="s">
        <v>29</v>
      </c>
      <c r="T93" s="43">
        <v>11009</v>
      </c>
      <c r="U93" s="44">
        <v>11009</v>
      </c>
      <c r="V93" s="43">
        <v>7500.0000000000009</v>
      </c>
      <c r="W93" s="45">
        <v>675.00000000000011</v>
      </c>
      <c r="X93" s="45" t="s">
        <v>435</v>
      </c>
      <c r="Y93" s="39"/>
      <c r="Z93" s="74" t="s">
        <v>348</v>
      </c>
    </row>
    <row r="94" spans="1:26" s="38" customFormat="1" ht="27.75" customHeight="1" x14ac:dyDescent="0.2">
      <c r="A94" s="39">
        <v>89</v>
      </c>
      <c r="B94" s="39" t="s">
        <v>35</v>
      </c>
      <c r="C94" s="39" t="s">
        <v>266</v>
      </c>
      <c r="D94" s="39"/>
      <c r="E94" s="39"/>
      <c r="F94" s="39" t="s">
        <v>267</v>
      </c>
      <c r="G94" s="39" t="s">
        <v>38</v>
      </c>
      <c r="H94" s="39" t="s">
        <v>136</v>
      </c>
      <c r="I94" s="39" t="s">
        <v>268</v>
      </c>
      <c r="J94" s="39" t="s">
        <v>28</v>
      </c>
      <c r="K94" s="39">
        <v>0.3</v>
      </c>
      <c r="L94" s="40">
        <v>46180</v>
      </c>
      <c r="M94" s="41">
        <v>0.33333333333333331</v>
      </c>
      <c r="N94" s="40">
        <v>46180</v>
      </c>
      <c r="O94" s="41">
        <v>0.45833333333333331</v>
      </c>
      <c r="P94" s="42">
        <v>2345</v>
      </c>
      <c r="Q94" s="42">
        <v>0</v>
      </c>
      <c r="R94" s="39" t="s">
        <v>269</v>
      </c>
      <c r="S94" s="88" t="s">
        <v>4</v>
      </c>
      <c r="T94" s="43">
        <v>932</v>
      </c>
      <c r="U94" s="44">
        <v>932</v>
      </c>
      <c r="V94" s="43">
        <v>900</v>
      </c>
      <c r="W94" s="45">
        <v>81</v>
      </c>
      <c r="X94" s="45" t="s">
        <v>462</v>
      </c>
      <c r="Y94" s="39"/>
      <c r="Z94" s="71" t="s">
        <v>387</v>
      </c>
    </row>
    <row r="95" spans="1:26" s="38" customFormat="1" ht="27.75" customHeight="1" x14ac:dyDescent="0.2">
      <c r="A95" s="84">
        <v>90</v>
      </c>
      <c r="B95" s="84" t="s">
        <v>35</v>
      </c>
      <c r="C95" s="84" t="s">
        <v>266</v>
      </c>
      <c r="D95" s="84"/>
      <c r="E95" s="84"/>
      <c r="F95" s="84" t="s">
        <v>270</v>
      </c>
      <c r="G95" s="84" t="s">
        <v>38</v>
      </c>
      <c r="H95" s="84" t="s">
        <v>136</v>
      </c>
      <c r="I95" s="84" t="s">
        <v>271</v>
      </c>
      <c r="J95" s="84" t="s">
        <v>28</v>
      </c>
      <c r="K95" s="84">
        <v>0.4</v>
      </c>
      <c r="L95" s="85">
        <v>46180</v>
      </c>
      <c r="M95" s="86">
        <v>0.33333333333333331</v>
      </c>
      <c r="N95" s="85">
        <v>46180</v>
      </c>
      <c r="O95" s="86">
        <v>0.45833333333333331</v>
      </c>
      <c r="P95" s="87">
        <v>500</v>
      </c>
      <c r="Q95" s="87">
        <v>0</v>
      </c>
      <c r="R95" s="89" t="s">
        <v>269</v>
      </c>
      <c r="S95" s="96" t="s">
        <v>4</v>
      </c>
      <c r="T95" s="95">
        <v>356</v>
      </c>
      <c r="U95" s="90">
        <v>356</v>
      </c>
      <c r="V95" s="89">
        <v>1200</v>
      </c>
      <c r="W95" s="91">
        <v>108</v>
      </c>
      <c r="X95" s="91" t="s">
        <v>462</v>
      </c>
      <c r="Y95" s="84"/>
      <c r="Z95" s="92" t="s">
        <v>388</v>
      </c>
    </row>
    <row r="96" spans="1:26" s="38" customFormat="1" ht="45.75" customHeight="1" x14ac:dyDescent="0.2">
      <c r="A96" s="104">
        <v>91</v>
      </c>
      <c r="B96" s="84" t="s">
        <v>254</v>
      </c>
      <c r="C96" s="84" t="s">
        <v>463</v>
      </c>
      <c r="D96" s="84"/>
      <c r="E96" s="84"/>
      <c r="F96" s="84" t="s">
        <v>260</v>
      </c>
      <c r="G96" s="84" t="s">
        <v>59</v>
      </c>
      <c r="H96" s="84" t="s">
        <v>265</v>
      </c>
      <c r="I96" s="84" t="s">
        <v>261</v>
      </c>
      <c r="J96" s="84" t="s">
        <v>28</v>
      </c>
      <c r="K96" s="84">
        <v>0.4</v>
      </c>
      <c r="L96" s="85">
        <v>46173</v>
      </c>
      <c r="M96" s="86">
        <v>0.14583333333333334</v>
      </c>
      <c r="N96" s="85">
        <v>46173</v>
      </c>
      <c r="O96" s="86">
        <v>0.22916666666666666</v>
      </c>
      <c r="P96" s="87"/>
      <c r="Q96" s="87"/>
      <c r="R96" s="89" t="s">
        <v>148</v>
      </c>
      <c r="S96" s="96" t="s">
        <v>4</v>
      </c>
      <c r="T96" s="95">
        <v>150</v>
      </c>
      <c r="U96" s="90">
        <v>518</v>
      </c>
      <c r="V96" s="89">
        <v>799.99999999999977</v>
      </c>
      <c r="W96" s="91">
        <v>71.999999999999972</v>
      </c>
      <c r="X96" s="91" t="s">
        <v>255</v>
      </c>
      <c r="Y96" s="84"/>
      <c r="Z96" s="92" t="s">
        <v>464</v>
      </c>
    </row>
    <row r="97" spans="1:26" s="38" customFormat="1" ht="45.75" customHeight="1" x14ac:dyDescent="0.2">
      <c r="A97" s="104">
        <v>92</v>
      </c>
      <c r="B97" s="84" t="s">
        <v>254</v>
      </c>
      <c r="C97" s="84" t="s">
        <v>466</v>
      </c>
      <c r="D97" s="84"/>
      <c r="E97" s="84"/>
      <c r="F97" s="84" t="s">
        <v>465</v>
      </c>
      <c r="G97" s="84" t="s">
        <v>59</v>
      </c>
      <c r="H97" s="84" t="s">
        <v>265</v>
      </c>
      <c r="I97" s="84" t="s">
        <v>470</v>
      </c>
      <c r="J97" s="84" t="s">
        <v>28</v>
      </c>
      <c r="K97" s="84">
        <v>1.97</v>
      </c>
      <c r="L97" s="85">
        <v>46173</v>
      </c>
      <c r="M97" s="86">
        <v>6.25E-2</v>
      </c>
      <c r="N97" s="85">
        <v>46173</v>
      </c>
      <c r="O97" s="86">
        <v>0.1875</v>
      </c>
      <c r="P97" s="87"/>
      <c r="Q97" s="87"/>
      <c r="R97" s="89" t="s">
        <v>148</v>
      </c>
      <c r="S97" s="97" t="s">
        <v>4</v>
      </c>
      <c r="T97" s="95">
        <v>1118</v>
      </c>
      <c r="U97" s="90">
        <v>4778</v>
      </c>
      <c r="V97" s="89">
        <v>5910</v>
      </c>
      <c r="W97" s="91">
        <v>531.9</v>
      </c>
      <c r="X97" s="91" t="s">
        <v>474</v>
      </c>
      <c r="Y97" s="84"/>
      <c r="Z97" s="92" t="s">
        <v>468</v>
      </c>
    </row>
    <row r="98" spans="1:26" s="38" customFormat="1" ht="45.75" customHeight="1" x14ac:dyDescent="0.2">
      <c r="A98" s="93">
        <v>93</v>
      </c>
      <c r="B98" s="96" t="s">
        <v>254</v>
      </c>
      <c r="C98" s="96" t="s">
        <v>466</v>
      </c>
      <c r="D98" s="96"/>
      <c r="E98" s="96"/>
      <c r="F98" s="96" t="s">
        <v>467</v>
      </c>
      <c r="G98" s="96" t="s">
        <v>59</v>
      </c>
      <c r="H98" s="96" t="s">
        <v>265</v>
      </c>
      <c r="I98" s="96" t="s">
        <v>471</v>
      </c>
      <c r="J98" s="96" t="s">
        <v>28</v>
      </c>
      <c r="K98" s="96">
        <v>1</v>
      </c>
      <c r="L98" s="98">
        <v>46172</v>
      </c>
      <c r="M98" s="99">
        <v>6.25E-2</v>
      </c>
      <c r="N98" s="98">
        <v>46172</v>
      </c>
      <c r="O98" s="99">
        <v>0.1875</v>
      </c>
      <c r="P98" s="100"/>
      <c r="Q98" s="100"/>
      <c r="R98" s="96" t="s">
        <v>148</v>
      </c>
      <c r="S98" s="96" t="s">
        <v>4</v>
      </c>
      <c r="T98" s="96">
        <v>120</v>
      </c>
      <c r="U98" s="101">
        <v>2374</v>
      </c>
      <c r="V98" s="96">
        <v>3000</v>
      </c>
      <c r="W98" s="102">
        <v>270</v>
      </c>
      <c r="X98" s="102" t="s">
        <v>474</v>
      </c>
      <c r="Y98" s="96"/>
      <c r="Z98" s="103" t="s">
        <v>469</v>
      </c>
    </row>
  </sheetData>
  <mergeCells count="2">
    <mergeCell ref="B1:W1"/>
    <mergeCell ref="G3:H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0"/>
  <sheetViews>
    <sheetView topLeftCell="C1" workbookViewId="0">
      <selection activeCell="C5" sqref="C5"/>
    </sheetView>
  </sheetViews>
  <sheetFormatPr baseColWidth="10" defaultColWidth="11.44140625" defaultRowHeight="14.4" x14ac:dyDescent="0.3"/>
  <cols>
    <col min="1" max="2" width="11.44140625" style="37"/>
    <col min="3" max="3" width="41.6640625" style="37" customWidth="1"/>
    <col min="4" max="4" width="12.88671875" style="37" customWidth="1"/>
    <col min="5" max="17" width="11.44140625" style="37"/>
    <col min="18" max="18" width="23.44140625" style="37" customWidth="1"/>
    <col min="19" max="19" width="13.109375" style="37" customWidth="1"/>
    <col min="20" max="16384" width="11.44140625" style="37"/>
  </cols>
  <sheetData>
    <row r="1" spans="1:24" ht="18" x14ac:dyDescent="0.35">
      <c r="A1" s="105" t="s">
        <v>320</v>
      </c>
      <c r="B1" s="105"/>
      <c r="C1" s="105"/>
      <c r="D1" s="105"/>
      <c r="E1" s="105"/>
      <c r="F1" s="105"/>
      <c r="G1" s="105"/>
      <c r="H1" s="105"/>
      <c r="I1" s="105"/>
      <c r="J1" s="105"/>
      <c r="K1" s="105"/>
      <c r="L1" s="105"/>
      <c r="M1" s="105"/>
      <c r="N1" s="105"/>
      <c r="O1" s="105"/>
      <c r="P1" s="105"/>
      <c r="Q1" s="105"/>
      <c r="R1" s="105"/>
      <c r="S1" s="105"/>
      <c r="T1" s="105"/>
      <c r="U1" s="105"/>
      <c r="V1" s="105"/>
    </row>
    <row r="3" spans="1:24" x14ac:dyDescent="0.3">
      <c r="A3" s="57"/>
      <c r="D3" s="8" t="s">
        <v>321</v>
      </c>
      <c r="E3" s="22" t="s">
        <v>322</v>
      </c>
      <c r="F3" s="106" t="s">
        <v>323</v>
      </c>
      <c r="G3" s="107"/>
    </row>
    <row r="4" spans="1:24" x14ac:dyDescent="0.3">
      <c r="A4" s="57"/>
    </row>
    <row r="5" spans="1:24" ht="40.799999999999997" x14ac:dyDescent="0.3">
      <c r="A5" s="1" t="s">
        <v>324</v>
      </c>
      <c r="B5" s="1" t="s">
        <v>0</v>
      </c>
      <c r="C5" s="1" t="s">
        <v>1</v>
      </c>
      <c r="D5" s="1" t="s">
        <v>2</v>
      </c>
      <c r="E5" s="1" t="s">
        <v>3</v>
      </c>
      <c r="F5" s="1" t="s">
        <v>4</v>
      </c>
      <c r="G5" s="1" t="s">
        <v>5</v>
      </c>
      <c r="H5" s="1" t="s">
        <v>6</v>
      </c>
      <c r="I5" s="1" t="s">
        <v>7</v>
      </c>
      <c r="J5" s="1" t="s">
        <v>8</v>
      </c>
      <c r="K5" s="1" t="s">
        <v>9</v>
      </c>
      <c r="L5" s="2" t="s">
        <v>10</v>
      </c>
      <c r="M5" s="1" t="s">
        <v>11</v>
      </c>
      <c r="N5" s="1" t="s">
        <v>12</v>
      </c>
      <c r="O5" s="1" t="s">
        <v>13</v>
      </c>
      <c r="P5" s="3" t="s">
        <v>14</v>
      </c>
      <c r="Q5" s="3" t="s">
        <v>15</v>
      </c>
      <c r="R5" s="1" t="s">
        <v>16</v>
      </c>
      <c r="S5" s="4" t="s">
        <v>17</v>
      </c>
      <c r="T5" s="5" t="s">
        <v>18</v>
      </c>
      <c r="U5" s="6" t="s">
        <v>19</v>
      </c>
      <c r="V5" s="5" t="s">
        <v>20</v>
      </c>
      <c r="W5" s="5" t="s">
        <v>21</v>
      </c>
      <c r="X5" s="5" t="s">
        <v>338</v>
      </c>
    </row>
    <row r="6" spans="1:24" ht="30.6" x14ac:dyDescent="0.3">
      <c r="A6" s="8">
        <v>1</v>
      </c>
      <c r="B6" s="8" t="s">
        <v>22</v>
      </c>
      <c r="C6" s="8" t="s">
        <v>23</v>
      </c>
      <c r="D6" s="8"/>
      <c r="E6" s="8" t="s">
        <v>24</v>
      </c>
      <c r="F6" s="8"/>
      <c r="G6" s="8" t="s">
        <v>25</v>
      </c>
      <c r="H6" s="8" t="s">
        <v>26</v>
      </c>
      <c r="I6" s="8" t="s">
        <v>27</v>
      </c>
      <c r="J6" s="8" t="s">
        <v>28</v>
      </c>
      <c r="K6" s="8">
        <v>2.1800000000000002</v>
      </c>
      <c r="L6" s="9">
        <v>46172</v>
      </c>
      <c r="M6" s="10">
        <v>4.1666666666666664E-2</v>
      </c>
      <c r="N6" s="9">
        <v>46172</v>
      </c>
      <c r="O6" s="10">
        <v>0.16666666666666666</v>
      </c>
      <c r="P6" s="11">
        <v>9758.66</v>
      </c>
      <c r="Q6" s="11">
        <v>0</v>
      </c>
      <c r="R6" s="8"/>
      <c r="S6" s="8" t="s">
        <v>29</v>
      </c>
      <c r="T6" s="12">
        <v>13592</v>
      </c>
      <c r="U6" s="12">
        <v>13592</v>
      </c>
      <c r="V6" s="12">
        <v>6540</v>
      </c>
      <c r="W6" s="13">
        <v>588.6</v>
      </c>
      <c r="X6" s="7"/>
    </row>
    <row r="7" spans="1:24" ht="20.399999999999999" x14ac:dyDescent="0.3">
      <c r="A7" s="8">
        <v>2</v>
      </c>
      <c r="B7" s="8" t="s">
        <v>22</v>
      </c>
      <c r="C7" s="8" t="s">
        <v>30</v>
      </c>
      <c r="D7" s="8"/>
      <c r="E7" s="8" t="s">
        <v>24</v>
      </c>
      <c r="F7" s="8" t="s">
        <v>31</v>
      </c>
      <c r="G7" s="8" t="s">
        <v>25</v>
      </c>
      <c r="H7" s="8" t="s">
        <v>32</v>
      </c>
      <c r="I7" s="8" t="s">
        <v>33</v>
      </c>
      <c r="J7" s="8" t="s">
        <v>34</v>
      </c>
      <c r="K7" s="8">
        <v>0.19</v>
      </c>
      <c r="L7" s="9">
        <v>46172</v>
      </c>
      <c r="M7" s="10">
        <v>4.1666666666666664E-2</v>
      </c>
      <c r="N7" s="9">
        <v>46172</v>
      </c>
      <c r="O7" s="10">
        <v>0.16666666666666666</v>
      </c>
      <c r="P7" s="11">
        <v>14500</v>
      </c>
      <c r="Q7" s="11">
        <v>0</v>
      </c>
      <c r="R7" s="8"/>
      <c r="S7" s="8" t="s">
        <v>4</v>
      </c>
      <c r="T7" s="12"/>
      <c r="U7" s="14"/>
      <c r="V7" s="12">
        <v>570</v>
      </c>
      <c r="W7" s="13">
        <v>51.3</v>
      </c>
      <c r="X7" s="7"/>
    </row>
    <row r="8" spans="1:24" ht="20.399999999999999" x14ac:dyDescent="0.3">
      <c r="A8" s="8">
        <v>3</v>
      </c>
      <c r="B8" s="8" t="s">
        <v>35</v>
      </c>
      <c r="C8" s="8" t="s">
        <v>36</v>
      </c>
      <c r="D8" s="8"/>
      <c r="E8" s="8"/>
      <c r="F8" s="8" t="s">
        <v>37</v>
      </c>
      <c r="G8" s="8" t="s">
        <v>38</v>
      </c>
      <c r="H8" s="8" t="s">
        <v>39</v>
      </c>
      <c r="I8" s="8" t="s">
        <v>40</v>
      </c>
      <c r="J8" s="8" t="s">
        <v>41</v>
      </c>
      <c r="K8" s="8">
        <v>2</v>
      </c>
      <c r="L8" s="9">
        <v>46172</v>
      </c>
      <c r="M8" s="10">
        <v>0.125</v>
      </c>
      <c r="N8" s="9">
        <v>46172</v>
      </c>
      <c r="O8" s="10">
        <v>0.25</v>
      </c>
      <c r="P8" s="11">
        <v>1700</v>
      </c>
      <c r="Q8" s="11">
        <v>0</v>
      </c>
      <c r="R8" s="8" t="s">
        <v>42</v>
      </c>
      <c r="S8" s="8" t="s">
        <v>4</v>
      </c>
      <c r="T8" s="12">
        <v>1882</v>
      </c>
      <c r="U8" s="14">
        <v>1882</v>
      </c>
      <c r="V8" s="12">
        <v>6000</v>
      </c>
      <c r="W8" s="13">
        <v>540</v>
      </c>
      <c r="X8" s="7"/>
    </row>
    <row r="9" spans="1:24" ht="20.399999999999999" x14ac:dyDescent="0.3">
      <c r="A9" s="8">
        <v>4</v>
      </c>
      <c r="B9" s="8" t="s">
        <v>35</v>
      </c>
      <c r="C9" s="8" t="s">
        <v>43</v>
      </c>
      <c r="D9" s="8"/>
      <c r="E9" s="8" t="s">
        <v>44</v>
      </c>
      <c r="F9" s="8"/>
      <c r="G9" s="8" t="s">
        <v>45</v>
      </c>
      <c r="H9" s="8" t="s">
        <v>44</v>
      </c>
      <c r="I9" s="8" t="s">
        <v>46</v>
      </c>
      <c r="J9" s="8" t="s">
        <v>34</v>
      </c>
      <c r="K9" s="8">
        <v>11</v>
      </c>
      <c r="L9" s="9">
        <v>46172</v>
      </c>
      <c r="M9" s="10">
        <v>0.125</v>
      </c>
      <c r="N9" s="9">
        <v>46172</v>
      </c>
      <c r="O9" s="10">
        <v>0.25</v>
      </c>
      <c r="P9" s="11">
        <v>6990.81</v>
      </c>
      <c r="Q9" s="11">
        <v>0</v>
      </c>
      <c r="R9" s="8" t="s">
        <v>47</v>
      </c>
      <c r="S9" s="8" t="s">
        <v>29</v>
      </c>
      <c r="T9" s="12">
        <v>14991</v>
      </c>
      <c r="U9" s="14">
        <v>14991</v>
      </c>
      <c r="V9" s="12">
        <v>33000</v>
      </c>
      <c r="W9" s="13">
        <v>2970</v>
      </c>
      <c r="X9" s="7"/>
    </row>
    <row r="10" spans="1:24" ht="20.399999999999999" x14ac:dyDescent="0.3">
      <c r="A10" s="8">
        <v>5</v>
      </c>
      <c r="B10" s="8" t="s">
        <v>35</v>
      </c>
      <c r="C10" s="8" t="s">
        <v>48</v>
      </c>
      <c r="D10" s="8"/>
      <c r="E10" s="8"/>
      <c r="F10" s="8" t="s">
        <v>49</v>
      </c>
      <c r="G10" s="8" t="s">
        <v>38</v>
      </c>
      <c r="H10" s="8" t="s">
        <v>39</v>
      </c>
      <c r="I10" s="8" t="s">
        <v>50</v>
      </c>
      <c r="J10" s="8" t="s">
        <v>28</v>
      </c>
      <c r="K10" s="8">
        <v>2.5</v>
      </c>
      <c r="L10" s="9">
        <v>46172</v>
      </c>
      <c r="M10" s="10">
        <v>0.125</v>
      </c>
      <c r="N10" s="9">
        <v>46172</v>
      </c>
      <c r="O10" s="10">
        <v>0.25</v>
      </c>
      <c r="P10" s="11">
        <v>2444.7600000000002</v>
      </c>
      <c r="Q10" s="11">
        <v>0</v>
      </c>
      <c r="R10" s="8" t="s">
        <v>42</v>
      </c>
      <c r="S10" s="8" t="s">
        <v>4</v>
      </c>
      <c r="T10" s="12">
        <v>639</v>
      </c>
      <c r="U10" s="14">
        <v>639</v>
      </c>
      <c r="V10" s="12">
        <v>7500</v>
      </c>
      <c r="W10" s="13">
        <v>675</v>
      </c>
      <c r="X10" s="7"/>
    </row>
    <row r="11" spans="1:24" ht="30.6" x14ac:dyDescent="0.3">
      <c r="A11" s="8">
        <v>6</v>
      </c>
      <c r="B11" s="8" t="s">
        <v>35</v>
      </c>
      <c r="C11" s="8" t="s">
        <v>51</v>
      </c>
      <c r="D11" s="8"/>
      <c r="E11" s="8"/>
      <c r="F11" s="8" t="s">
        <v>52</v>
      </c>
      <c r="G11" s="8" t="s">
        <v>38</v>
      </c>
      <c r="H11" s="8" t="s">
        <v>39</v>
      </c>
      <c r="I11" s="8" t="s">
        <v>53</v>
      </c>
      <c r="J11" s="8" t="s">
        <v>28</v>
      </c>
      <c r="K11" s="8">
        <v>2.2999999999999998</v>
      </c>
      <c r="L11" s="9">
        <v>46172</v>
      </c>
      <c r="M11" s="10">
        <v>0.125</v>
      </c>
      <c r="N11" s="9">
        <v>46172</v>
      </c>
      <c r="O11" s="10">
        <v>0.25</v>
      </c>
      <c r="P11" s="11">
        <v>1001.35</v>
      </c>
      <c r="Q11" s="11">
        <v>0</v>
      </c>
      <c r="R11" s="8" t="s">
        <v>42</v>
      </c>
      <c r="S11" s="8" t="s">
        <v>4</v>
      </c>
      <c r="T11" s="12">
        <v>3229</v>
      </c>
      <c r="U11" s="14">
        <v>3229</v>
      </c>
      <c r="V11" s="12">
        <v>6900</v>
      </c>
      <c r="W11" s="13">
        <v>621</v>
      </c>
      <c r="X11" s="7"/>
    </row>
    <row r="12" spans="1:24" ht="30.6" x14ac:dyDescent="0.3">
      <c r="A12" s="8">
        <v>7</v>
      </c>
      <c r="B12" s="8" t="s">
        <v>35</v>
      </c>
      <c r="C12" s="8" t="s">
        <v>54</v>
      </c>
      <c r="D12" s="8"/>
      <c r="E12" s="8"/>
      <c r="F12" s="8" t="s">
        <v>55</v>
      </c>
      <c r="G12" s="8" t="s">
        <v>38</v>
      </c>
      <c r="H12" s="8" t="s">
        <v>39</v>
      </c>
      <c r="I12" s="8" t="s">
        <v>53</v>
      </c>
      <c r="J12" s="8" t="s">
        <v>28</v>
      </c>
      <c r="K12" s="8">
        <v>3</v>
      </c>
      <c r="L12" s="9">
        <v>46172</v>
      </c>
      <c r="M12" s="10">
        <v>0.125</v>
      </c>
      <c r="N12" s="9">
        <v>46172</v>
      </c>
      <c r="O12" s="10">
        <v>0.25</v>
      </c>
      <c r="P12" s="11">
        <v>4869.34</v>
      </c>
      <c r="Q12" s="11">
        <v>0</v>
      </c>
      <c r="R12" s="8" t="s">
        <v>42</v>
      </c>
      <c r="S12" s="8" t="s">
        <v>4</v>
      </c>
      <c r="T12" s="12">
        <v>3229</v>
      </c>
      <c r="U12" s="14">
        <v>3229</v>
      </c>
      <c r="V12" s="12">
        <v>9000</v>
      </c>
      <c r="W12" s="13">
        <v>810</v>
      </c>
      <c r="X12" s="7"/>
    </row>
    <row r="13" spans="1:24" ht="40.799999999999997" x14ac:dyDescent="0.3">
      <c r="A13" s="8">
        <v>8</v>
      </c>
      <c r="B13" s="8" t="s">
        <v>56</v>
      </c>
      <c r="C13" s="8" t="s">
        <v>57</v>
      </c>
      <c r="D13" s="8"/>
      <c r="E13" s="8" t="s">
        <v>58</v>
      </c>
      <c r="F13" s="8"/>
      <c r="G13" s="8" t="s">
        <v>59</v>
      </c>
      <c r="H13" s="8" t="s">
        <v>60</v>
      </c>
      <c r="I13" s="8" t="s">
        <v>61</v>
      </c>
      <c r="J13" s="8" t="s">
        <v>41</v>
      </c>
      <c r="K13" s="8">
        <v>7.5</v>
      </c>
      <c r="L13" s="15">
        <v>46173</v>
      </c>
      <c r="M13" s="10">
        <v>0.16666666666666666</v>
      </c>
      <c r="N13" s="15">
        <v>46173</v>
      </c>
      <c r="O13" s="10">
        <v>0.25</v>
      </c>
      <c r="P13" s="11">
        <v>2800</v>
      </c>
      <c r="Q13" s="11">
        <v>0</v>
      </c>
      <c r="R13" s="8" t="s">
        <v>62</v>
      </c>
      <c r="S13" s="8" t="s">
        <v>29</v>
      </c>
      <c r="T13" s="12">
        <v>13353</v>
      </c>
      <c r="U13" s="14">
        <v>13353</v>
      </c>
      <c r="V13" s="12">
        <v>15000</v>
      </c>
      <c r="W13" s="13">
        <v>1350</v>
      </c>
      <c r="X13" s="7"/>
    </row>
    <row r="14" spans="1:24" ht="99.75" customHeight="1" x14ac:dyDescent="0.3">
      <c r="A14" s="8">
        <v>9</v>
      </c>
      <c r="B14" s="8" t="s">
        <v>56</v>
      </c>
      <c r="C14" s="8" t="s">
        <v>63</v>
      </c>
      <c r="D14" s="8" t="s">
        <v>64</v>
      </c>
      <c r="E14" s="8"/>
      <c r="F14" s="8"/>
      <c r="G14" s="8" t="s">
        <v>59</v>
      </c>
      <c r="H14" s="8" t="s">
        <v>65</v>
      </c>
      <c r="I14" s="8" t="s">
        <v>66</v>
      </c>
      <c r="J14" s="8" t="s">
        <v>67</v>
      </c>
      <c r="K14" s="8">
        <v>113</v>
      </c>
      <c r="L14" s="9">
        <v>46172</v>
      </c>
      <c r="M14" s="10">
        <v>0.125</v>
      </c>
      <c r="N14" s="9">
        <v>46172</v>
      </c>
      <c r="O14" s="10">
        <v>0.25</v>
      </c>
      <c r="P14" s="11">
        <v>70000</v>
      </c>
      <c r="Q14" s="11"/>
      <c r="R14" s="8" t="s">
        <v>62</v>
      </c>
      <c r="S14" s="8" t="s">
        <v>66</v>
      </c>
      <c r="T14" s="16">
        <v>96317</v>
      </c>
      <c r="U14" s="17">
        <v>96317</v>
      </c>
      <c r="V14" s="16">
        <v>339000</v>
      </c>
      <c r="W14" s="13">
        <v>30510</v>
      </c>
      <c r="X14" s="7"/>
    </row>
    <row r="15" spans="1:24" ht="51" x14ac:dyDescent="0.3">
      <c r="A15" s="8">
        <v>10</v>
      </c>
      <c r="B15" s="8" t="s">
        <v>56</v>
      </c>
      <c r="C15" s="8" t="s">
        <v>68</v>
      </c>
      <c r="D15" s="8" t="s">
        <v>69</v>
      </c>
      <c r="E15" s="8" t="s">
        <v>70</v>
      </c>
      <c r="F15" s="8"/>
      <c r="G15" s="8" t="s">
        <v>71</v>
      </c>
      <c r="H15" s="8" t="s">
        <v>72</v>
      </c>
      <c r="I15" s="8" t="s">
        <v>66</v>
      </c>
      <c r="J15" s="8" t="s">
        <v>67</v>
      </c>
      <c r="K15" s="8">
        <v>11.13</v>
      </c>
      <c r="L15" s="9">
        <v>46172</v>
      </c>
      <c r="M15" s="10">
        <v>0.125</v>
      </c>
      <c r="N15" s="9">
        <v>46172</v>
      </c>
      <c r="O15" s="10">
        <v>0.25</v>
      </c>
      <c r="P15" s="11">
        <v>3500</v>
      </c>
      <c r="Q15" s="11"/>
      <c r="R15" s="8" t="s">
        <v>73</v>
      </c>
      <c r="S15" s="8" t="s">
        <v>66</v>
      </c>
      <c r="T15" s="16">
        <v>16442</v>
      </c>
      <c r="U15" s="17">
        <v>16442</v>
      </c>
      <c r="V15" s="16">
        <v>33390</v>
      </c>
      <c r="W15" s="13">
        <v>3005.1</v>
      </c>
      <c r="X15" s="7"/>
    </row>
    <row r="16" spans="1:24" ht="84" customHeight="1" x14ac:dyDescent="0.3">
      <c r="A16" s="8">
        <v>11</v>
      </c>
      <c r="B16" s="8" t="s">
        <v>56</v>
      </c>
      <c r="C16" s="8" t="s">
        <v>74</v>
      </c>
      <c r="D16" s="8" t="s">
        <v>75</v>
      </c>
      <c r="E16" s="8"/>
      <c r="F16" s="8"/>
      <c r="G16" s="8" t="s">
        <v>59</v>
      </c>
      <c r="H16" s="8" t="s">
        <v>76</v>
      </c>
      <c r="I16" s="8" t="s">
        <v>66</v>
      </c>
      <c r="J16" s="8" t="s">
        <v>67</v>
      </c>
      <c r="K16" s="8">
        <v>45</v>
      </c>
      <c r="L16" s="9">
        <v>46173</v>
      </c>
      <c r="M16" s="10">
        <v>0.125</v>
      </c>
      <c r="N16" s="9">
        <v>46173</v>
      </c>
      <c r="O16" s="10">
        <v>0.25</v>
      </c>
      <c r="P16" s="11">
        <v>8000</v>
      </c>
      <c r="Q16" s="11"/>
      <c r="R16" s="8" t="s">
        <v>62</v>
      </c>
      <c r="S16" s="8" t="s">
        <v>66</v>
      </c>
      <c r="T16" s="12">
        <v>55764</v>
      </c>
      <c r="U16" s="14">
        <v>55764</v>
      </c>
      <c r="V16" s="12">
        <v>135000</v>
      </c>
      <c r="W16" s="13">
        <v>12150</v>
      </c>
      <c r="X16" s="7" t="s">
        <v>77</v>
      </c>
    </row>
    <row r="17" spans="1:24" ht="102" x14ac:dyDescent="0.3">
      <c r="A17" s="8">
        <v>12</v>
      </c>
      <c r="B17" s="8" t="s">
        <v>56</v>
      </c>
      <c r="C17" s="8" t="s">
        <v>78</v>
      </c>
      <c r="D17" s="8"/>
      <c r="E17" s="8" t="s">
        <v>79</v>
      </c>
      <c r="F17" s="8"/>
      <c r="G17" s="8" t="s">
        <v>59</v>
      </c>
      <c r="H17" s="8" t="s">
        <v>80</v>
      </c>
      <c r="I17" s="8" t="s">
        <v>81</v>
      </c>
      <c r="J17" s="8" t="s">
        <v>41</v>
      </c>
      <c r="K17" s="8">
        <v>25.49</v>
      </c>
      <c r="L17" s="9">
        <v>46173</v>
      </c>
      <c r="M17" s="10">
        <v>0.125</v>
      </c>
      <c r="N17" s="9">
        <v>46173</v>
      </c>
      <c r="O17" s="10">
        <v>0.25</v>
      </c>
      <c r="P17" s="11">
        <v>6500</v>
      </c>
      <c r="Q17" s="11"/>
      <c r="R17" s="8" t="s">
        <v>62</v>
      </c>
      <c r="S17" s="8" t="s">
        <v>29</v>
      </c>
      <c r="T17" s="12">
        <v>24491</v>
      </c>
      <c r="U17" s="12">
        <v>24491</v>
      </c>
      <c r="V17" s="12">
        <v>76470</v>
      </c>
      <c r="W17" s="13">
        <v>6882.3</v>
      </c>
      <c r="X17" s="7"/>
    </row>
    <row r="18" spans="1:24" ht="81.599999999999994" x14ac:dyDescent="0.3">
      <c r="A18" s="8">
        <v>17</v>
      </c>
      <c r="B18" s="8" t="s">
        <v>82</v>
      </c>
      <c r="C18" s="18" t="s">
        <v>83</v>
      </c>
      <c r="D18" s="8"/>
      <c r="E18" s="8" t="s">
        <v>84</v>
      </c>
      <c r="F18" s="8"/>
      <c r="G18" s="8" t="s">
        <v>85</v>
      </c>
      <c r="H18" s="8" t="s">
        <v>86</v>
      </c>
      <c r="I18" s="8" t="s">
        <v>87</v>
      </c>
      <c r="J18" s="8" t="s">
        <v>41</v>
      </c>
      <c r="K18" s="8">
        <v>9.5</v>
      </c>
      <c r="L18" s="19">
        <v>46172</v>
      </c>
      <c r="M18" s="10">
        <v>0.125</v>
      </c>
      <c r="N18" s="19">
        <v>46172</v>
      </c>
      <c r="O18" s="10">
        <v>0.29166666666666669</v>
      </c>
      <c r="P18" s="11">
        <v>24162.48</v>
      </c>
      <c r="Q18" s="11">
        <v>0</v>
      </c>
      <c r="R18" s="8" t="s">
        <v>88</v>
      </c>
      <c r="S18" s="20" t="s">
        <v>29</v>
      </c>
      <c r="T18" s="12">
        <v>21407</v>
      </c>
      <c r="U18" s="14">
        <v>21407</v>
      </c>
      <c r="V18" s="12">
        <v>38000</v>
      </c>
      <c r="W18" s="13">
        <v>3420</v>
      </c>
      <c r="X18" s="7"/>
    </row>
    <row r="19" spans="1:24" ht="81.599999999999994" x14ac:dyDescent="0.3">
      <c r="A19" s="8">
        <v>18</v>
      </c>
      <c r="B19" s="8" t="s">
        <v>82</v>
      </c>
      <c r="C19" s="18" t="s">
        <v>89</v>
      </c>
      <c r="D19" s="8"/>
      <c r="E19" s="8" t="s">
        <v>90</v>
      </c>
      <c r="F19" s="8"/>
      <c r="G19" s="8" t="s">
        <v>85</v>
      </c>
      <c r="H19" s="8" t="s">
        <v>91</v>
      </c>
      <c r="I19" s="8" t="s">
        <v>92</v>
      </c>
      <c r="J19" s="8" t="s">
        <v>41</v>
      </c>
      <c r="K19" s="8">
        <v>6.5</v>
      </c>
      <c r="L19" s="19">
        <v>46173</v>
      </c>
      <c r="M19" s="10">
        <v>0.125</v>
      </c>
      <c r="N19" s="19">
        <v>46173</v>
      </c>
      <c r="O19" s="10">
        <v>0.25</v>
      </c>
      <c r="P19" s="11">
        <v>5445.85</v>
      </c>
      <c r="Q19" s="11">
        <v>0</v>
      </c>
      <c r="R19" s="8" t="s">
        <v>93</v>
      </c>
      <c r="S19" s="20" t="s">
        <v>29</v>
      </c>
      <c r="T19" s="12">
        <v>21995</v>
      </c>
      <c r="U19" s="14">
        <v>21995</v>
      </c>
      <c r="V19" s="12">
        <v>19500</v>
      </c>
      <c r="W19" s="13">
        <v>1755</v>
      </c>
      <c r="X19" s="7"/>
    </row>
    <row r="20" spans="1:24" ht="51" x14ac:dyDescent="0.3">
      <c r="A20" s="8">
        <v>19</v>
      </c>
      <c r="B20" s="8" t="s">
        <v>94</v>
      </c>
      <c r="C20" s="8" t="s">
        <v>95</v>
      </c>
      <c r="D20" s="8" t="s">
        <v>96</v>
      </c>
      <c r="E20" s="8"/>
      <c r="F20" s="8"/>
      <c r="G20" s="8" t="s">
        <v>97</v>
      </c>
      <c r="H20" s="8" t="s">
        <v>98</v>
      </c>
      <c r="I20" s="8" t="s">
        <v>66</v>
      </c>
      <c r="J20" s="8" t="s">
        <v>28</v>
      </c>
      <c r="K20" s="8">
        <v>17.145</v>
      </c>
      <c r="L20" s="9">
        <v>46172</v>
      </c>
      <c r="M20" s="10">
        <v>0.25</v>
      </c>
      <c r="N20" s="9">
        <v>46172</v>
      </c>
      <c r="O20" s="10">
        <v>0.375</v>
      </c>
      <c r="P20" s="11">
        <v>9886</v>
      </c>
      <c r="Q20" s="11">
        <v>0</v>
      </c>
      <c r="R20" s="8" t="s">
        <v>99</v>
      </c>
      <c r="S20" s="20" t="s">
        <v>66</v>
      </c>
      <c r="T20" s="12">
        <v>17145</v>
      </c>
      <c r="U20" s="14">
        <v>17145</v>
      </c>
      <c r="V20" s="12">
        <v>51435</v>
      </c>
      <c r="W20" s="13">
        <v>4629.1499999999996</v>
      </c>
      <c r="X20" s="7"/>
    </row>
    <row r="21" spans="1:24" ht="20.399999999999999" x14ac:dyDescent="0.3">
      <c r="A21" s="8">
        <v>20</v>
      </c>
      <c r="B21" s="8" t="s">
        <v>94</v>
      </c>
      <c r="C21" s="8" t="s">
        <v>244</v>
      </c>
      <c r="D21" s="8"/>
      <c r="E21" s="8" t="s">
        <v>245</v>
      </c>
      <c r="F21" s="8" t="s">
        <v>246</v>
      </c>
      <c r="G21" s="8" t="s">
        <v>97</v>
      </c>
      <c r="H21" s="8" t="s">
        <v>98</v>
      </c>
      <c r="I21" s="8" t="s">
        <v>247</v>
      </c>
      <c r="J21" s="8" t="s">
        <v>28</v>
      </c>
      <c r="K21" s="8">
        <v>10</v>
      </c>
      <c r="L21" s="9">
        <v>46173</v>
      </c>
      <c r="M21" s="10">
        <v>0.125</v>
      </c>
      <c r="N21" s="9">
        <v>46173</v>
      </c>
      <c r="O21" s="10">
        <v>0.25</v>
      </c>
      <c r="P21" s="11">
        <v>4480</v>
      </c>
      <c r="Q21" s="11">
        <v>0</v>
      </c>
      <c r="R21" s="8" t="s">
        <v>164</v>
      </c>
      <c r="S21" s="20" t="s">
        <v>29</v>
      </c>
      <c r="T21" s="12">
        <v>8819</v>
      </c>
      <c r="U21" s="14">
        <v>8819</v>
      </c>
      <c r="V21" s="12">
        <v>0</v>
      </c>
      <c r="W21" s="13">
        <v>0</v>
      </c>
      <c r="X21" s="7"/>
    </row>
    <row r="22" spans="1:24" ht="30.6" x14ac:dyDescent="0.3">
      <c r="A22" s="8">
        <v>21</v>
      </c>
      <c r="B22" s="8" t="s">
        <v>100</v>
      </c>
      <c r="C22" s="8" t="s">
        <v>101</v>
      </c>
      <c r="D22" s="8"/>
      <c r="E22" s="8" t="s">
        <v>102</v>
      </c>
      <c r="F22" s="8"/>
      <c r="G22" s="8" t="s">
        <v>45</v>
      </c>
      <c r="H22" s="8" t="s">
        <v>102</v>
      </c>
      <c r="I22" s="8" t="s">
        <v>103</v>
      </c>
      <c r="J22" s="8" t="s">
        <v>41</v>
      </c>
      <c r="K22" s="8">
        <v>8</v>
      </c>
      <c r="L22" s="9">
        <v>46173</v>
      </c>
      <c r="M22" s="10">
        <v>8.3333333333333329E-2</v>
      </c>
      <c r="N22" s="9">
        <v>46173</v>
      </c>
      <c r="O22" s="10">
        <v>0.20833333333333334</v>
      </c>
      <c r="P22" s="11">
        <v>4195.24</v>
      </c>
      <c r="Q22" s="11">
        <v>0</v>
      </c>
      <c r="R22" s="8" t="s">
        <v>104</v>
      </c>
      <c r="S22" s="20" t="s">
        <v>29</v>
      </c>
      <c r="T22" s="12">
        <v>9042</v>
      </c>
      <c r="U22" s="14">
        <v>9042</v>
      </c>
      <c r="V22" s="12">
        <v>24000</v>
      </c>
      <c r="W22" s="13">
        <v>2160</v>
      </c>
      <c r="X22" s="7"/>
    </row>
    <row r="23" spans="1:24" ht="20.399999999999999" x14ac:dyDescent="0.3">
      <c r="A23" s="8">
        <v>22</v>
      </c>
      <c r="B23" s="8" t="s">
        <v>100</v>
      </c>
      <c r="C23" s="8" t="s">
        <v>105</v>
      </c>
      <c r="D23" s="8"/>
      <c r="E23" s="8" t="s">
        <v>106</v>
      </c>
      <c r="F23" s="8"/>
      <c r="G23" s="8" t="s">
        <v>45</v>
      </c>
      <c r="H23" s="8" t="s">
        <v>107</v>
      </c>
      <c r="I23" s="8" t="s">
        <v>108</v>
      </c>
      <c r="J23" s="8" t="s">
        <v>41</v>
      </c>
      <c r="K23" s="8">
        <v>3</v>
      </c>
      <c r="L23" s="9">
        <v>46172</v>
      </c>
      <c r="M23" s="10">
        <v>8.3333333333333329E-2</v>
      </c>
      <c r="N23" s="9">
        <v>46172</v>
      </c>
      <c r="O23" s="10">
        <v>0.20833333333333334</v>
      </c>
      <c r="P23" s="11">
        <v>692.48</v>
      </c>
      <c r="Q23" s="11">
        <v>0</v>
      </c>
      <c r="R23" s="8"/>
      <c r="S23" s="20" t="s">
        <v>29</v>
      </c>
      <c r="T23" s="12">
        <v>7065</v>
      </c>
      <c r="U23" s="14">
        <v>7065</v>
      </c>
      <c r="V23" s="12">
        <v>9000</v>
      </c>
      <c r="W23" s="13">
        <v>810</v>
      </c>
      <c r="X23" s="7"/>
    </row>
    <row r="24" spans="1:24" ht="40.799999999999997" x14ac:dyDescent="0.3">
      <c r="A24" s="8">
        <v>23</v>
      </c>
      <c r="B24" s="8" t="s">
        <v>100</v>
      </c>
      <c r="C24" s="21" t="s">
        <v>109</v>
      </c>
      <c r="D24" s="8"/>
      <c r="E24" s="8" t="s">
        <v>110</v>
      </c>
      <c r="F24" s="8"/>
      <c r="G24" s="8" t="s">
        <v>45</v>
      </c>
      <c r="H24" s="8" t="s">
        <v>107</v>
      </c>
      <c r="I24" s="8" t="s">
        <v>111</v>
      </c>
      <c r="J24" s="8" t="s">
        <v>41</v>
      </c>
      <c r="K24" s="8">
        <v>2.5</v>
      </c>
      <c r="L24" s="9">
        <v>46172</v>
      </c>
      <c r="M24" s="10">
        <v>8.3333333333333329E-2</v>
      </c>
      <c r="N24" s="9">
        <v>46172</v>
      </c>
      <c r="O24" s="10">
        <v>0.20833333333333334</v>
      </c>
      <c r="P24" s="11">
        <v>3045.24</v>
      </c>
      <c r="Q24" s="11">
        <v>0</v>
      </c>
      <c r="R24" s="8" t="s">
        <v>112</v>
      </c>
      <c r="S24" s="20" t="s">
        <v>29</v>
      </c>
      <c r="T24" s="12">
        <v>217</v>
      </c>
      <c r="U24" s="14">
        <v>217</v>
      </c>
      <c r="V24" s="12">
        <v>7500</v>
      </c>
      <c r="W24" s="13">
        <v>675</v>
      </c>
      <c r="X24" s="7"/>
    </row>
    <row r="25" spans="1:24" ht="40.799999999999997" x14ac:dyDescent="0.3">
      <c r="A25" s="8">
        <v>24</v>
      </c>
      <c r="B25" s="8" t="s">
        <v>113</v>
      </c>
      <c r="C25" s="8" t="s">
        <v>114</v>
      </c>
      <c r="D25" s="8" t="s">
        <v>115</v>
      </c>
      <c r="E25" s="8"/>
      <c r="F25" s="8"/>
      <c r="G25" s="8" t="s">
        <v>116</v>
      </c>
      <c r="H25" s="8" t="s">
        <v>117</v>
      </c>
      <c r="I25" s="8" t="s">
        <v>66</v>
      </c>
      <c r="J25" s="8" t="s">
        <v>28</v>
      </c>
      <c r="K25" s="8">
        <v>6.03</v>
      </c>
      <c r="L25" s="9">
        <v>46172</v>
      </c>
      <c r="M25" s="10">
        <v>0.125</v>
      </c>
      <c r="N25" s="9">
        <v>46172</v>
      </c>
      <c r="O25" s="10">
        <v>0.25</v>
      </c>
      <c r="P25" s="11">
        <v>600</v>
      </c>
      <c r="Q25" s="11">
        <v>0</v>
      </c>
      <c r="R25" s="8" t="s">
        <v>118</v>
      </c>
      <c r="S25" s="20" t="s">
        <v>66</v>
      </c>
      <c r="T25" s="12">
        <v>15946</v>
      </c>
      <c r="U25" s="14">
        <v>15946</v>
      </c>
      <c r="V25" s="12">
        <v>18090</v>
      </c>
      <c r="W25" s="13">
        <v>1628.1</v>
      </c>
      <c r="X25" s="7"/>
    </row>
    <row r="26" spans="1:24" ht="20.399999999999999" x14ac:dyDescent="0.3">
      <c r="A26" s="8">
        <v>25</v>
      </c>
      <c r="B26" s="8" t="s">
        <v>113</v>
      </c>
      <c r="C26" s="8" t="s">
        <v>119</v>
      </c>
      <c r="D26" s="8"/>
      <c r="E26" s="8"/>
      <c r="F26" s="8" t="s">
        <v>120</v>
      </c>
      <c r="G26" s="8" t="s">
        <v>121</v>
      </c>
      <c r="H26" s="8" t="s">
        <v>122</v>
      </c>
      <c r="I26" s="8" t="s">
        <v>123</v>
      </c>
      <c r="J26" s="8" t="s">
        <v>41</v>
      </c>
      <c r="K26" s="8">
        <v>2.19</v>
      </c>
      <c r="L26" s="9">
        <v>46172</v>
      </c>
      <c r="M26" s="10">
        <v>0.125</v>
      </c>
      <c r="N26" s="9">
        <v>46172</v>
      </c>
      <c r="O26" s="10">
        <v>0.25</v>
      </c>
      <c r="P26" s="11">
        <v>900</v>
      </c>
      <c r="Q26" s="11">
        <v>0</v>
      </c>
      <c r="R26" s="8"/>
      <c r="S26" s="20" t="s">
        <v>4</v>
      </c>
      <c r="T26" s="12">
        <v>5862</v>
      </c>
      <c r="U26" s="14">
        <v>5862</v>
      </c>
      <c r="V26" s="12">
        <v>6570</v>
      </c>
      <c r="W26" s="13">
        <v>591.29999999999995</v>
      </c>
      <c r="X26" s="7"/>
    </row>
    <row r="27" spans="1:24" ht="20.399999999999999" x14ac:dyDescent="0.3">
      <c r="A27" s="22">
        <v>26</v>
      </c>
      <c r="B27" s="22" t="s">
        <v>22</v>
      </c>
      <c r="C27" s="22" t="s">
        <v>124</v>
      </c>
      <c r="D27" s="22"/>
      <c r="E27" s="22" t="s">
        <v>125</v>
      </c>
      <c r="F27" s="22"/>
      <c r="G27" s="22" t="s">
        <v>25</v>
      </c>
      <c r="H27" s="22" t="s">
        <v>126</v>
      </c>
      <c r="I27" s="22" t="s">
        <v>127</v>
      </c>
      <c r="J27" s="22" t="s">
        <v>41</v>
      </c>
      <c r="K27" s="22">
        <v>1.22</v>
      </c>
      <c r="L27" s="23">
        <v>46179</v>
      </c>
      <c r="M27" s="24">
        <v>0.125</v>
      </c>
      <c r="N27" s="23">
        <v>46179</v>
      </c>
      <c r="O27" s="24">
        <v>0.25</v>
      </c>
      <c r="P27" s="25">
        <v>400</v>
      </c>
      <c r="Q27" s="25">
        <v>0</v>
      </c>
      <c r="R27" s="22"/>
      <c r="S27" s="22" t="s">
        <v>29</v>
      </c>
      <c r="T27" s="26">
        <v>10655</v>
      </c>
      <c r="U27" s="26">
        <v>10655</v>
      </c>
      <c r="V27" s="26">
        <v>3660</v>
      </c>
      <c r="W27" s="27">
        <v>329.4</v>
      </c>
      <c r="X27" s="7"/>
    </row>
    <row r="28" spans="1:24" ht="51" x14ac:dyDescent="0.3">
      <c r="A28" s="22">
        <v>27</v>
      </c>
      <c r="B28" s="22" t="s">
        <v>35</v>
      </c>
      <c r="C28" s="22" t="s">
        <v>48</v>
      </c>
      <c r="D28" s="22"/>
      <c r="E28" s="22"/>
      <c r="F28" s="22" t="s">
        <v>128</v>
      </c>
      <c r="G28" s="22" t="s">
        <v>38</v>
      </c>
      <c r="H28" s="22" t="s">
        <v>128</v>
      </c>
      <c r="I28" s="22" t="s">
        <v>129</v>
      </c>
      <c r="J28" s="22" t="s">
        <v>28</v>
      </c>
      <c r="K28" s="22">
        <v>4</v>
      </c>
      <c r="L28" s="23">
        <v>46179</v>
      </c>
      <c r="M28" s="24">
        <v>0.29166666666666669</v>
      </c>
      <c r="N28" s="23">
        <v>46179</v>
      </c>
      <c r="O28" s="24">
        <v>0.41666666666666669</v>
      </c>
      <c r="P28" s="25">
        <v>9172.9500000000007</v>
      </c>
      <c r="Q28" s="25">
        <v>0</v>
      </c>
      <c r="R28" s="22" t="s">
        <v>130</v>
      </c>
      <c r="S28" s="22" t="s">
        <v>4</v>
      </c>
      <c r="T28" s="26">
        <v>3429</v>
      </c>
      <c r="U28" s="28">
        <v>3429</v>
      </c>
      <c r="V28" s="26">
        <v>12000</v>
      </c>
      <c r="W28" s="27">
        <v>1080</v>
      </c>
      <c r="X28" s="7"/>
    </row>
    <row r="29" spans="1:24" ht="40.799999999999997" x14ac:dyDescent="0.3">
      <c r="A29" s="22">
        <v>28</v>
      </c>
      <c r="B29" s="22" t="s">
        <v>35</v>
      </c>
      <c r="C29" s="22" t="s">
        <v>48</v>
      </c>
      <c r="D29" s="22"/>
      <c r="E29" s="22"/>
      <c r="F29" s="22" t="s">
        <v>131</v>
      </c>
      <c r="G29" s="22" t="s">
        <v>38</v>
      </c>
      <c r="H29" s="22" t="s">
        <v>132</v>
      </c>
      <c r="I29" s="22" t="s">
        <v>133</v>
      </c>
      <c r="J29" s="22" t="s">
        <v>28</v>
      </c>
      <c r="K29" s="22">
        <v>1.8</v>
      </c>
      <c r="L29" s="23">
        <v>46179</v>
      </c>
      <c r="M29" s="24">
        <v>0.29166666666666669</v>
      </c>
      <c r="N29" s="23">
        <v>46179</v>
      </c>
      <c r="O29" s="24">
        <v>0.41666666666666669</v>
      </c>
      <c r="P29" s="25">
        <v>7282.12</v>
      </c>
      <c r="Q29" s="25">
        <v>0</v>
      </c>
      <c r="R29" s="22" t="s">
        <v>134</v>
      </c>
      <c r="S29" s="22" t="s">
        <v>4</v>
      </c>
      <c r="T29" s="26">
        <v>5556</v>
      </c>
      <c r="U29" s="28">
        <v>5556</v>
      </c>
      <c r="V29" s="26">
        <v>5400</v>
      </c>
      <c r="W29" s="27">
        <v>486</v>
      </c>
      <c r="X29" s="7"/>
    </row>
    <row r="30" spans="1:24" ht="30.6" x14ac:dyDescent="0.3">
      <c r="A30" s="22">
        <v>29</v>
      </c>
      <c r="B30" s="22" t="s">
        <v>35</v>
      </c>
      <c r="C30" s="22" t="s">
        <v>48</v>
      </c>
      <c r="D30" s="22"/>
      <c r="E30" s="22"/>
      <c r="F30" s="22" t="s">
        <v>135</v>
      </c>
      <c r="G30" s="22" t="s">
        <v>38</v>
      </c>
      <c r="H30" s="22" t="s">
        <v>136</v>
      </c>
      <c r="I30" s="22" t="s">
        <v>137</v>
      </c>
      <c r="J30" s="22" t="s">
        <v>28</v>
      </c>
      <c r="K30" s="22">
        <v>2</v>
      </c>
      <c r="L30" s="23">
        <v>46180</v>
      </c>
      <c r="M30" s="24">
        <v>0.29166666666666669</v>
      </c>
      <c r="N30" s="23">
        <v>46180</v>
      </c>
      <c r="O30" s="24">
        <v>0.41666666666666669</v>
      </c>
      <c r="P30" s="25">
        <v>6002.05</v>
      </c>
      <c r="Q30" s="25">
        <v>0</v>
      </c>
      <c r="R30" s="22" t="s">
        <v>138</v>
      </c>
      <c r="S30" s="22" t="s">
        <v>4</v>
      </c>
      <c r="T30" s="26">
        <v>3353</v>
      </c>
      <c r="U30" s="28">
        <v>3353</v>
      </c>
      <c r="V30" s="26">
        <v>6000</v>
      </c>
      <c r="W30" s="27">
        <v>540</v>
      </c>
      <c r="X30" s="7"/>
    </row>
    <row r="31" spans="1:24" ht="51" x14ac:dyDescent="0.3">
      <c r="A31" s="22">
        <v>30</v>
      </c>
      <c r="B31" s="22" t="s">
        <v>35</v>
      </c>
      <c r="C31" s="22" t="s">
        <v>139</v>
      </c>
      <c r="D31" s="22"/>
      <c r="E31" s="22"/>
      <c r="F31" s="22" t="s">
        <v>140</v>
      </c>
      <c r="G31" s="22" t="s">
        <v>38</v>
      </c>
      <c r="H31" s="22" t="s">
        <v>140</v>
      </c>
      <c r="I31" s="22" t="s">
        <v>141</v>
      </c>
      <c r="J31" s="22" t="s">
        <v>28</v>
      </c>
      <c r="K31" s="22">
        <v>4.5</v>
      </c>
      <c r="L31" s="23">
        <v>46180</v>
      </c>
      <c r="M31" s="24">
        <v>0.29166666666666669</v>
      </c>
      <c r="N31" s="23">
        <v>46180</v>
      </c>
      <c r="O31" s="24">
        <v>0.41666666666666669</v>
      </c>
      <c r="P31" s="25">
        <v>10344.65</v>
      </c>
      <c r="Q31" s="25">
        <v>0</v>
      </c>
      <c r="R31" s="22" t="s">
        <v>130</v>
      </c>
      <c r="S31" s="22" t="s">
        <v>4</v>
      </c>
      <c r="T31" s="26">
        <v>2335</v>
      </c>
      <c r="U31" s="28">
        <v>2335</v>
      </c>
      <c r="V31" s="26">
        <v>13500</v>
      </c>
      <c r="W31" s="27">
        <v>1215</v>
      </c>
      <c r="X31" s="7"/>
    </row>
    <row r="32" spans="1:24" ht="30.6" x14ac:dyDescent="0.3">
      <c r="A32" s="22">
        <v>37</v>
      </c>
      <c r="B32" s="22" t="s">
        <v>142</v>
      </c>
      <c r="C32" s="22" t="s">
        <v>143</v>
      </c>
      <c r="D32" s="22"/>
      <c r="E32" s="22" t="s">
        <v>144</v>
      </c>
      <c r="F32" s="22"/>
      <c r="G32" s="22" t="s">
        <v>145</v>
      </c>
      <c r="H32" s="22" t="s">
        <v>146</v>
      </c>
      <c r="I32" s="22" t="s">
        <v>147</v>
      </c>
      <c r="J32" s="22" t="s">
        <v>28</v>
      </c>
      <c r="K32" s="22">
        <v>2.54</v>
      </c>
      <c r="L32" s="23">
        <v>46179</v>
      </c>
      <c r="M32" s="24">
        <v>0.125</v>
      </c>
      <c r="N32" s="23">
        <v>46179</v>
      </c>
      <c r="O32" s="24">
        <v>0.25</v>
      </c>
      <c r="P32" s="25">
        <v>18426.349999999999</v>
      </c>
      <c r="Q32" s="25">
        <v>0</v>
      </c>
      <c r="R32" s="22" t="s">
        <v>148</v>
      </c>
      <c r="S32" s="22" t="s">
        <v>29</v>
      </c>
      <c r="T32" s="26">
        <v>5442</v>
      </c>
      <c r="U32" s="28">
        <v>5442</v>
      </c>
      <c r="V32" s="26">
        <v>7620</v>
      </c>
      <c r="W32" s="27">
        <v>685.8</v>
      </c>
      <c r="X32" s="7"/>
    </row>
    <row r="33" spans="1:24" ht="30.6" x14ac:dyDescent="0.3">
      <c r="A33" s="22">
        <v>38</v>
      </c>
      <c r="B33" s="22" t="s">
        <v>142</v>
      </c>
      <c r="C33" s="22" t="s">
        <v>149</v>
      </c>
      <c r="D33" s="22" t="s">
        <v>150</v>
      </c>
      <c r="E33" s="22"/>
      <c r="F33" s="22"/>
      <c r="G33" s="22" t="s">
        <v>145</v>
      </c>
      <c r="H33" s="22" t="s">
        <v>151</v>
      </c>
      <c r="I33" s="22" t="s">
        <v>66</v>
      </c>
      <c r="J33" s="22" t="s">
        <v>28</v>
      </c>
      <c r="K33" s="22">
        <v>19.850000000000001</v>
      </c>
      <c r="L33" s="23">
        <v>46180</v>
      </c>
      <c r="M33" s="24">
        <v>0.125</v>
      </c>
      <c r="N33" s="23">
        <v>46180</v>
      </c>
      <c r="O33" s="24">
        <v>0.25</v>
      </c>
      <c r="P33" s="25">
        <v>4000</v>
      </c>
      <c r="Q33" s="29">
        <v>0</v>
      </c>
      <c r="R33" s="22" t="s">
        <v>148</v>
      </c>
      <c r="S33" s="22" t="s">
        <v>66</v>
      </c>
      <c r="T33" s="26">
        <v>26127</v>
      </c>
      <c r="U33" s="28">
        <v>26127</v>
      </c>
      <c r="V33" s="26">
        <v>59550</v>
      </c>
      <c r="W33" s="27">
        <v>5359.5</v>
      </c>
      <c r="X33" s="7"/>
    </row>
    <row r="34" spans="1:24" ht="30.6" x14ac:dyDescent="0.3">
      <c r="A34" s="22">
        <v>39</v>
      </c>
      <c r="B34" s="22" t="s">
        <v>56</v>
      </c>
      <c r="C34" s="22" t="s">
        <v>152</v>
      </c>
      <c r="D34" s="22"/>
      <c r="E34" s="22" t="s">
        <v>58</v>
      </c>
      <c r="F34" s="22"/>
      <c r="G34" s="22" t="s">
        <v>59</v>
      </c>
      <c r="H34" s="22" t="s">
        <v>60</v>
      </c>
      <c r="I34" s="22" t="s">
        <v>61</v>
      </c>
      <c r="J34" s="22" t="s">
        <v>41</v>
      </c>
      <c r="K34" s="22">
        <v>7.5</v>
      </c>
      <c r="L34" s="30">
        <v>46179</v>
      </c>
      <c r="M34" s="24">
        <v>0.125</v>
      </c>
      <c r="N34" s="30">
        <v>46179</v>
      </c>
      <c r="O34" s="24">
        <v>0.25</v>
      </c>
      <c r="P34" s="25">
        <v>1500</v>
      </c>
      <c r="Q34" s="25"/>
      <c r="R34" s="22" t="s">
        <v>62</v>
      </c>
      <c r="S34" s="22" t="s">
        <v>29</v>
      </c>
      <c r="T34" s="31">
        <v>13379</v>
      </c>
      <c r="U34" s="32">
        <v>13379</v>
      </c>
      <c r="V34" s="31">
        <v>22500</v>
      </c>
      <c r="W34" s="27">
        <v>2025</v>
      </c>
      <c r="X34" s="7"/>
    </row>
    <row r="35" spans="1:24" ht="30.6" x14ac:dyDescent="0.3">
      <c r="A35" s="22">
        <v>40</v>
      </c>
      <c r="B35" s="22" t="s">
        <v>56</v>
      </c>
      <c r="C35" s="22" t="s">
        <v>153</v>
      </c>
      <c r="D35" s="22" t="s">
        <v>154</v>
      </c>
      <c r="E35" s="22"/>
      <c r="F35" s="22"/>
      <c r="G35" s="22" t="s">
        <v>59</v>
      </c>
      <c r="H35" s="22" t="s">
        <v>80</v>
      </c>
      <c r="I35" s="22"/>
      <c r="J35" s="22" t="s">
        <v>67</v>
      </c>
      <c r="K35" s="22">
        <v>220</v>
      </c>
      <c r="L35" s="23">
        <v>46180</v>
      </c>
      <c r="M35" s="24">
        <v>0.125</v>
      </c>
      <c r="N35" s="23">
        <v>46180</v>
      </c>
      <c r="O35" s="24">
        <v>0.25</v>
      </c>
      <c r="P35" s="25">
        <v>6800</v>
      </c>
      <c r="Q35" s="25"/>
      <c r="R35" s="22" t="s">
        <v>62</v>
      </c>
      <c r="S35" s="22" t="s">
        <v>66</v>
      </c>
      <c r="T35" s="26">
        <v>41887</v>
      </c>
      <c r="U35" s="28">
        <v>41887</v>
      </c>
      <c r="V35" s="26">
        <v>660000</v>
      </c>
      <c r="W35" s="27">
        <v>59400</v>
      </c>
      <c r="X35" s="7"/>
    </row>
    <row r="36" spans="1:24" ht="81.599999999999994" x14ac:dyDescent="0.3">
      <c r="A36" s="22">
        <v>47</v>
      </c>
      <c r="B36" s="22" t="s">
        <v>82</v>
      </c>
      <c r="C36" s="33" t="s">
        <v>155</v>
      </c>
      <c r="D36" s="22"/>
      <c r="E36" s="22" t="s">
        <v>156</v>
      </c>
      <c r="F36" s="22"/>
      <c r="G36" s="22" t="s">
        <v>85</v>
      </c>
      <c r="H36" s="22" t="s">
        <v>156</v>
      </c>
      <c r="I36" s="22" t="s">
        <v>157</v>
      </c>
      <c r="J36" s="22" t="s">
        <v>41</v>
      </c>
      <c r="K36" s="22">
        <v>4.5</v>
      </c>
      <c r="L36" s="34">
        <v>46179</v>
      </c>
      <c r="M36" s="24">
        <v>0.125</v>
      </c>
      <c r="N36" s="34">
        <v>46179</v>
      </c>
      <c r="O36" s="24">
        <v>0.25</v>
      </c>
      <c r="P36" s="25">
        <v>10370.73</v>
      </c>
      <c r="Q36" s="25">
        <v>0</v>
      </c>
      <c r="R36" s="22" t="s">
        <v>158</v>
      </c>
      <c r="S36" s="35" t="s">
        <v>29</v>
      </c>
      <c r="T36" s="26">
        <v>6545</v>
      </c>
      <c r="U36" s="28">
        <v>10674</v>
      </c>
      <c r="V36" s="26">
        <v>13500</v>
      </c>
      <c r="W36" s="27">
        <v>1215</v>
      </c>
      <c r="X36" s="7"/>
    </row>
    <row r="37" spans="1:24" ht="20.399999999999999" x14ac:dyDescent="0.3">
      <c r="A37" s="22">
        <v>48</v>
      </c>
      <c r="B37" s="22" t="s">
        <v>94</v>
      </c>
      <c r="C37" s="22" t="s">
        <v>159</v>
      </c>
      <c r="D37" s="22"/>
      <c r="E37" s="22" t="s">
        <v>160</v>
      </c>
      <c r="F37" s="22" t="s">
        <v>161</v>
      </c>
      <c r="G37" s="22" t="s">
        <v>97</v>
      </c>
      <c r="H37" s="22" t="s">
        <v>162</v>
      </c>
      <c r="I37" s="22" t="s">
        <v>163</v>
      </c>
      <c r="J37" s="22" t="s">
        <v>28</v>
      </c>
      <c r="K37" s="22">
        <v>3.8</v>
      </c>
      <c r="L37" s="23">
        <v>46180</v>
      </c>
      <c r="M37" s="24">
        <v>0.125</v>
      </c>
      <c r="N37" s="23">
        <v>46180</v>
      </c>
      <c r="O37" s="24">
        <v>0.25</v>
      </c>
      <c r="P37" s="25">
        <v>4000</v>
      </c>
      <c r="Q37" s="25">
        <v>0</v>
      </c>
      <c r="R37" s="22" t="s">
        <v>164</v>
      </c>
      <c r="S37" s="35" t="s">
        <v>4</v>
      </c>
      <c r="T37" s="26">
        <v>4273</v>
      </c>
      <c r="U37" s="28">
        <v>4273</v>
      </c>
      <c r="V37" s="26">
        <v>11400</v>
      </c>
      <c r="W37" s="27">
        <v>1026</v>
      </c>
      <c r="X37" s="7"/>
    </row>
    <row r="38" spans="1:24" ht="40.799999999999997" x14ac:dyDescent="0.3">
      <c r="A38" s="22">
        <v>49</v>
      </c>
      <c r="B38" s="22" t="s">
        <v>100</v>
      </c>
      <c r="C38" s="22" t="s">
        <v>165</v>
      </c>
      <c r="D38" s="22"/>
      <c r="E38" s="22" t="s">
        <v>166</v>
      </c>
      <c r="F38" s="22"/>
      <c r="G38" s="22" t="s">
        <v>45</v>
      </c>
      <c r="H38" s="22" t="s">
        <v>107</v>
      </c>
      <c r="I38" s="22" t="s">
        <v>167</v>
      </c>
      <c r="J38" s="22" t="s">
        <v>41</v>
      </c>
      <c r="K38" s="22">
        <v>12</v>
      </c>
      <c r="L38" s="23">
        <v>46180</v>
      </c>
      <c r="M38" s="24">
        <v>8.3333333333333329E-2</v>
      </c>
      <c r="N38" s="23">
        <v>46180</v>
      </c>
      <c r="O38" s="24">
        <v>0.20833333333333334</v>
      </c>
      <c r="P38" s="25">
        <v>3045.24</v>
      </c>
      <c r="Q38" s="25">
        <v>0</v>
      </c>
      <c r="R38" s="22"/>
      <c r="S38" s="35" t="s">
        <v>29</v>
      </c>
      <c r="T38" s="26">
        <v>9119</v>
      </c>
      <c r="U38" s="28">
        <v>9119</v>
      </c>
      <c r="V38" s="26">
        <v>36000</v>
      </c>
      <c r="W38" s="27">
        <v>3240</v>
      </c>
      <c r="X38" s="7"/>
    </row>
    <row r="39" spans="1:24" ht="51" x14ac:dyDescent="0.3">
      <c r="A39" s="22">
        <v>50</v>
      </c>
      <c r="B39" s="22" t="s">
        <v>100</v>
      </c>
      <c r="C39" s="36" t="s">
        <v>168</v>
      </c>
      <c r="D39" s="22"/>
      <c r="E39" s="22" t="s">
        <v>169</v>
      </c>
      <c r="F39" s="22"/>
      <c r="G39" s="22" t="s">
        <v>45</v>
      </c>
      <c r="H39" s="22" t="s">
        <v>170</v>
      </c>
      <c r="I39" s="22" t="s">
        <v>171</v>
      </c>
      <c r="J39" s="22" t="s">
        <v>41</v>
      </c>
      <c r="K39" s="22">
        <v>7</v>
      </c>
      <c r="L39" s="23">
        <v>46179</v>
      </c>
      <c r="M39" s="24">
        <v>8.3333333333333329E-2</v>
      </c>
      <c r="N39" s="23">
        <v>46179</v>
      </c>
      <c r="O39" s="24">
        <v>0.20833333333333334</v>
      </c>
      <c r="P39" s="25">
        <v>5765.24</v>
      </c>
      <c r="Q39" s="25">
        <v>0</v>
      </c>
      <c r="R39" s="22"/>
      <c r="S39" s="35" t="s">
        <v>29</v>
      </c>
      <c r="T39" s="26">
        <v>11724</v>
      </c>
      <c r="U39" s="28">
        <v>11724</v>
      </c>
      <c r="V39" s="26">
        <v>21000</v>
      </c>
      <c r="W39" s="27">
        <v>1890</v>
      </c>
      <c r="X39" s="7"/>
    </row>
    <row r="40" spans="1:24" ht="20.399999999999999" x14ac:dyDescent="0.3">
      <c r="A40" s="22">
        <v>51</v>
      </c>
      <c r="B40" s="22" t="s">
        <v>113</v>
      </c>
      <c r="C40" s="22" t="s">
        <v>172</v>
      </c>
      <c r="D40" s="22"/>
      <c r="E40" s="22" t="s">
        <v>173</v>
      </c>
      <c r="F40" s="22"/>
      <c r="G40" s="22" t="s">
        <v>116</v>
      </c>
      <c r="H40" s="22" t="s">
        <v>174</v>
      </c>
      <c r="I40" s="22" t="s">
        <v>175</v>
      </c>
      <c r="J40" s="22" t="s">
        <v>28</v>
      </c>
      <c r="K40" s="22">
        <v>13.59</v>
      </c>
      <c r="L40" s="23">
        <v>46179</v>
      </c>
      <c r="M40" s="24">
        <v>0.125</v>
      </c>
      <c r="N40" s="23">
        <v>46179</v>
      </c>
      <c r="O40" s="24">
        <v>0.25</v>
      </c>
      <c r="P40" s="25">
        <v>1500</v>
      </c>
      <c r="Q40" s="25">
        <v>0</v>
      </c>
      <c r="R40" s="22"/>
      <c r="S40" s="35" t="s">
        <v>29</v>
      </c>
      <c r="T40" s="26">
        <v>27109</v>
      </c>
      <c r="U40" s="28">
        <v>27109</v>
      </c>
      <c r="V40" s="26">
        <v>40770</v>
      </c>
      <c r="W40" s="27">
        <v>3669.2999999999997</v>
      </c>
      <c r="X40" s="7"/>
    </row>
    <row r="41" spans="1:24" ht="30.6" x14ac:dyDescent="0.3">
      <c r="A41" s="22">
        <v>52</v>
      </c>
      <c r="B41" s="22" t="s">
        <v>82</v>
      </c>
      <c r="C41" s="33" t="s">
        <v>176</v>
      </c>
      <c r="D41" s="22"/>
      <c r="E41" s="22" t="s">
        <v>177</v>
      </c>
      <c r="F41" s="22"/>
      <c r="G41" s="22" t="s">
        <v>85</v>
      </c>
      <c r="H41" s="22" t="s">
        <v>183</v>
      </c>
      <c r="I41" s="22" t="s">
        <v>178</v>
      </c>
      <c r="J41" s="22" t="s">
        <v>41</v>
      </c>
      <c r="K41" s="22">
        <v>8.5</v>
      </c>
      <c r="L41" s="34">
        <v>46180</v>
      </c>
      <c r="M41" s="24">
        <v>0.125</v>
      </c>
      <c r="N41" s="34">
        <v>46180</v>
      </c>
      <c r="O41" s="24">
        <v>0.25</v>
      </c>
      <c r="P41" s="25">
        <v>55048.43</v>
      </c>
      <c r="Q41" s="25">
        <v>0</v>
      </c>
      <c r="R41" s="22" t="s">
        <v>179</v>
      </c>
      <c r="S41" s="35" t="s">
        <v>29</v>
      </c>
      <c r="T41" s="26">
        <v>5273</v>
      </c>
      <c r="U41" s="26">
        <v>14892</v>
      </c>
      <c r="V41" s="26">
        <v>25500</v>
      </c>
      <c r="W41" s="27">
        <v>2295</v>
      </c>
      <c r="X41" s="54"/>
    </row>
    <row r="42" spans="1:24" ht="51" x14ac:dyDescent="0.3">
      <c r="A42" s="22">
        <v>53</v>
      </c>
      <c r="B42" s="22" t="s">
        <v>94</v>
      </c>
      <c r="C42" s="22" t="s">
        <v>180</v>
      </c>
      <c r="D42" s="22" t="s">
        <v>181</v>
      </c>
      <c r="E42" s="22" t="s">
        <v>182</v>
      </c>
      <c r="F42" s="22"/>
      <c r="G42" s="22" t="s">
        <v>97</v>
      </c>
      <c r="H42" s="22" t="s">
        <v>98</v>
      </c>
      <c r="I42" s="22" t="s">
        <v>66</v>
      </c>
      <c r="J42" s="22" t="s">
        <v>28</v>
      </c>
      <c r="K42" s="22">
        <v>32</v>
      </c>
      <c r="L42" s="23">
        <v>46179</v>
      </c>
      <c r="M42" s="24">
        <v>0.25</v>
      </c>
      <c r="N42" s="23">
        <v>46179</v>
      </c>
      <c r="O42" s="24">
        <v>0.375</v>
      </c>
      <c r="P42" s="25">
        <v>19234</v>
      </c>
      <c r="Q42" s="25">
        <v>0</v>
      </c>
      <c r="R42" s="22" t="s">
        <v>99</v>
      </c>
      <c r="S42" s="35" t="s">
        <v>66</v>
      </c>
      <c r="T42" s="26">
        <v>19764</v>
      </c>
      <c r="U42" s="22">
        <v>19764</v>
      </c>
      <c r="V42" s="26">
        <v>96000</v>
      </c>
      <c r="W42" s="27">
        <v>8640</v>
      </c>
      <c r="X42" s="54"/>
    </row>
    <row r="43" spans="1:24" ht="20.399999999999999" x14ac:dyDescent="0.3">
      <c r="A43" s="39">
        <v>54</v>
      </c>
      <c r="B43" s="39" t="s">
        <v>22</v>
      </c>
      <c r="C43" s="39" t="s">
        <v>193</v>
      </c>
      <c r="D43" s="39"/>
      <c r="E43" s="39"/>
      <c r="F43" s="39" t="s">
        <v>194</v>
      </c>
      <c r="G43" s="39" t="s">
        <v>290</v>
      </c>
      <c r="H43" s="39" t="s">
        <v>289</v>
      </c>
      <c r="I43" s="39" t="s">
        <v>195</v>
      </c>
      <c r="J43" s="39" t="s">
        <v>28</v>
      </c>
      <c r="K43" s="39">
        <v>0.18</v>
      </c>
      <c r="L43" s="40">
        <v>46179</v>
      </c>
      <c r="M43" s="41">
        <v>0.375</v>
      </c>
      <c r="N43" s="40">
        <v>46179</v>
      </c>
      <c r="O43" s="41">
        <v>0.5</v>
      </c>
      <c r="P43" s="42">
        <v>12159.84</v>
      </c>
      <c r="Q43" s="42">
        <v>0</v>
      </c>
      <c r="R43" s="39" t="s">
        <v>196</v>
      </c>
      <c r="S43" s="39" t="s">
        <v>4</v>
      </c>
      <c r="T43" s="58">
        <v>350</v>
      </c>
      <c r="U43" s="44"/>
      <c r="V43" s="58">
        <v>540</v>
      </c>
      <c r="W43" s="45">
        <v>48.6</v>
      </c>
      <c r="X43" s="38"/>
    </row>
    <row r="44" spans="1:24" ht="20.399999999999999" x14ac:dyDescent="0.3">
      <c r="A44" s="39">
        <v>55</v>
      </c>
      <c r="B44" s="39" t="s">
        <v>22</v>
      </c>
      <c r="C44" s="39" t="s">
        <v>193</v>
      </c>
      <c r="D44" s="39"/>
      <c r="E44" s="39"/>
      <c r="F44" s="39" t="s">
        <v>197</v>
      </c>
      <c r="G44" s="39" t="s">
        <v>290</v>
      </c>
      <c r="H44" s="39" t="s">
        <v>291</v>
      </c>
      <c r="I44" s="39" t="s">
        <v>198</v>
      </c>
      <c r="J44" s="39" t="s">
        <v>28</v>
      </c>
      <c r="K44" s="39">
        <v>0.24</v>
      </c>
      <c r="L44" s="40">
        <v>46179</v>
      </c>
      <c r="M44" s="41">
        <v>0.375</v>
      </c>
      <c r="N44" s="40">
        <v>46179</v>
      </c>
      <c r="O44" s="41">
        <v>0.5</v>
      </c>
      <c r="P44" s="42">
        <v>10200</v>
      </c>
      <c r="Q44" s="42">
        <v>0</v>
      </c>
      <c r="R44" s="39" t="s">
        <v>196</v>
      </c>
      <c r="S44" s="39" t="s">
        <v>4</v>
      </c>
      <c r="T44" s="58">
        <v>1351</v>
      </c>
      <c r="U44" s="44"/>
      <c r="V44" s="58">
        <v>720</v>
      </c>
      <c r="W44" s="45">
        <v>64.8</v>
      </c>
      <c r="X44" s="38"/>
    </row>
    <row r="45" spans="1:24" ht="20.399999999999999" x14ac:dyDescent="0.3">
      <c r="A45" s="39">
        <v>56</v>
      </c>
      <c r="B45" s="39" t="s">
        <v>22</v>
      </c>
      <c r="C45" s="39" t="s">
        <v>193</v>
      </c>
      <c r="D45" s="39"/>
      <c r="E45" s="39"/>
      <c r="F45" s="39" t="s">
        <v>199</v>
      </c>
      <c r="G45" s="39" t="s">
        <v>290</v>
      </c>
      <c r="H45" s="39" t="s">
        <v>292</v>
      </c>
      <c r="I45" s="39" t="s">
        <v>200</v>
      </c>
      <c r="J45" s="39" t="s">
        <v>28</v>
      </c>
      <c r="K45" s="39">
        <v>0.64</v>
      </c>
      <c r="L45" s="40">
        <v>46180</v>
      </c>
      <c r="M45" s="41">
        <v>0.375</v>
      </c>
      <c r="N45" s="40">
        <v>46180</v>
      </c>
      <c r="O45" s="41">
        <v>0.5</v>
      </c>
      <c r="P45" s="42">
        <v>15350</v>
      </c>
      <c r="Q45" s="42">
        <v>0</v>
      </c>
      <c r="R45" s="39" t="s">
        <v>196</v>
      </c>
      <c r="S45" s="39" t="s">
        <v>4</v>
      </c>
      <c r="T45" s="58">
        <v>2600</v>
      </c>
      <c r="U45" s="44"/>
      <c r="V45" s="58">
        <v>1920</v>
      </c>
      <c r="W45" s="45">
        <v>172.79999999999998</v>
      </c>
      <c r="X45" s="38"/>
    </row>
    <row r="46" spans="1:24" ht="20.399999999999999" x14ac:dyDescent="0.3">
      <c r="A46" s="39">
        <v>57</v>
      </c>
      <c r="B46" s="39" t="s">
        <v>22</v>
      </c>
      <c r="C46" s="39" t="s">
        <v>201</v>
      </c>
      <c r="D46" s="39"/>
      <c r="E46" s="39"/>
      <c r="F46" s="39" t="s">
        <v>202</v>
      </c>
      <c r="G46" s="39" t="s">
        <v>290</v>
      </c>
      <c r="H46" s="39" t="s">
        <v>293</v>
      </c>
      <c r="I46" s="39" t="s">
        <v>203</v>
      </c>
      <c r="J46" s="39" t="s">
        <v>41</v>
      </c>
      <c r="K46" s="39">
        <v>8.5000000000000006E-2</v>
      </c>
      <c r="L46" s="40">
        <v>46172</v>
      </c>
      <c r="M46" s="41">
        <v>0.41666666666666669</v>
      </c>
      <c r="N46" s="40">
        <v>46172</v>
      </c>
      <c r="O46" s="41">
        <v>0.5</v>
      </c>
      <c r="P46" s="42">
        <v>3048.56</v>
      </c>
      <c r="Q46" s="42">
        <v>0</v>
      </c>
      <c r="R46" s="39" t="s">
        <v>196</v>
      </c>
      <c r="S46" s="39" t="s">
        <v>4</v>
      </c>
      <c r="T46" s="58">
        <v>120</v>
      </c>
      <c r="U46" s="44"/>
      <c r="V46" s="58">
        <v>169.99999999999997</v>
      </c>
      <c r="W46" s="45">
        <v>15.299999999999997</v>
      </c>
      <c r="X46" s="38"/>
    </row>
    <row r="47" spans="1:24" ht="20.399999999999999" x14ac:dyDescent="0.3">
      <c r="A47" s="39">
        <v>58</v>
      </c>
      <c r="B47" s="39" t="s">
        <v>22</v>
      </c>
      <c r="C47" s="39" t="s">
        <v>204</v>
      </c>
      <c r="D47" s="39"/>
      <c r="E47" s="39"/>
      <c r="F47" s="39" t="s">
        <v>205</v>
      </c>
      <c r="G47" s="39" t="s">
        <v>290</v>
      </c>
      <c r="H47" s="39" t="s">
        <v>294</v>
      </c>
      <c r="I47" s="39" t="s">
        <v>206</v>
      </c>
      <c r="J47" s="39" t="s">
        <v>41</v>
      </c>
      <c r="K47" s="39">
        <v>0.2</v>
      </c>
      <c r="L47" s="40">
        <v>46172</v>
      </c>
      <c r="M47" s="41">
        <v>0.375</v>
      </c>
      <c r="N47" s="40">
        <v>46172</v>
      </c>
      <c r="O47" s="41">
        <v>0.5</v>
      </c>
      <c r="P47" s="42">
        <v>2360.7800000000002</v>
      </c>
      <c r="Q47" s="42">
        <v>0</v>
      </c>
      <c r="R47" s="39" t="s">
        <v>196</v>
      </c>
      <c r="S47" s="39" t="s">
        <v>4</v>
      </c>
      <c r="T47" s="58">
        <v>600</v>
      </c>
      <c r="U47" s="44"/>
      <c r="V47" s="58">
        <v>600</v>
      </c>
      <c r="W47" s="45">
        <v>54</v>
      </c>
      <c r="X47" s="38"/>
    </row>
    <row r="48" spans="1:24" ht="20.399999999999999" x14ac:dyDescent="0.3">
      <c r="A48" s="39">
        <v>59</v>
      </c>
      <c r="B48" s="39" t="s">
        <v>22</v>
      </c>
      <c r="C48" s="39" t="s">
        <v>207</v>
      </c>
      <c r="D48" s="39"/>
      <c r="E48" s="39"/>
      <c r="F48" s="39" t="s">
        <v>208</v>
      </c>
      <c r="G48" s="39" t="s">
        <v>290</v>
      </c>
      <c r="H48" s="39" t="s">
        <v>291</v>
      </c>
      <c r="I48" s="39" t="s">
        <v>209</v>
      </c>
      <c r="J48" s="39" t="s">
        <v>34</v>
      </c>
      <c r="K48" s="39">
        <v>0.4</v>
      </c>
      <c r="L48" s="40">
        <v>46173</v>
      </c>
      <c r="M48" s="41">
        <v>0.125</v>
      </c>
      <c r="N48" s="40">
        <v>46173</v>
      </c>
      <c r="O48" s="41">
        <v>0.25</v>
      </c>
      <c r="P48" s="42">
        <v>20000</v>
      </c>
      <c r="Q48" s="42">
        <v>0</v>
      </c>
      <c r="R48" s="39"/>
      <c r="S48" s="39" t="s">
        <v>4</v>
      </c>
      <c r="T48" s="58">
        <v>930</v>
      </c>
      <c r="U48" s="44"/>
      <c r="V48" s="58">
        <v>1200</v>
      </c>
      <c r="W48" s="45">
        <v>108</v>
      </c>
      <c r="X48" s="38"/>
    </row>
    <row r="49" spans="1:24" ht="40.799999999999997" x14ac:dyDescent="0.3">
      <c r="A49" s="39">
        <v>60</v>
      </c>
      <c r="B49" s="39" t="s">
        <v>82</v>
      </c>
      <c r="C49" s="39" t="s">
        <v>210</v>
      </c>
      <c r="D49" s="39"/>
      <c r="E49" s="39"/>
      <c r="F49" s="46" t="s">
        <v>211</v>
      </c>
      <c r="G49" s="46" t="s">
        <v>85</v>
      </c>
      <c r="H49" s="46" t="s">
        <v>298</v>
      </c>
      <c r="I49" s="39" t="s">
        <v>212</v>
      </c>
      <c r="J49" s="39" t="s">
        <v>28</v>
      </c>
      <c r="K49" s="39">
        <v>0.2</v>
      </c>
      <c r="L49" s="40">
        <v>46179</v>
      </c>
      <c r="M49" s="41">
        <v>0.375</v>
      </c>
      <c r="N49" s="40">
        <v>46179</v>
      </c>
      <c r="O49" s="41">
        <v>0.5</v>
      </c>
      <c r="P49" s="42">
        <v>7600</v>
      </c>
      <c r="Q49" s="42">
        <v>0</v>
      </c>
      <c r="R49" s="39" t="s">
        <v>213</v>
      </c>
      <c r="S49" s="39" t="s">
        <v>4</v>
      </c>
      <c r="T49" s="58">
        <v>510</v>
      </c>
      <c r="U49" s="44">
        <v>510</v>
      </c>
      <c r="V49" s="58">
        <v>600</v>
      </c>
      <c r="W49" s="45">
        <v>54</v>
      </c>
      <c r="X49" s="38"/>
    </row>
    <row r="50" spans="1:24" ht="20.399999999999999" x14ac:dyDescent="0.3">
      <c r="A50" s="39">
        <v>61</v>
      </c>
      <c r="B50" s="39" t="s">
        <v>82</v>
      </c>
      <c r="C50" s="46" t="s">
        <v>214</v>
      </c>
      <c r="D50" s="39"/>
      <c r="E50" s="39"/>
      <c r="F50" s="46" t="s">
        <v>215</v>
      </c>
      <c r="G50" s="39" t="s">
        <v>85</v>
      </c>
      <c r="H50" s="46" t="s">
        <v>215</v>
      </c>
      <c r="I50" s="39" t="s">
        <v>216</v>
      </c>
      <c r="J50" s="39" t="s">
        <v>28</v>
      </c>
      <c r="K50" s="39">
        <v>1</v>
      </c>
      <c r="L50" s="40">
        <v>46172</v>
      </c>
      <c r="M50" s="41">
        <v>0.29166666666666669</v>
      </c>
      <c r="N50" s="40">
        <v>46172</v>
      </c>
      <c r="O50" s="41">
        <v>0.41666666666666669</v>
      </c>
      <c r="P50" s="42">
        <v>8700</v>
      </c>
      <c r="Q50" s="42">
        <v>1700</v>
      </c>
      <c r="R50" s="39" t="s">
        <v>213</v>
      </c>
      <c r="S50" s="39" t="s">
        <v>4</v>
      </c>
      <c r="T50" s="58">
        <v>1563</v>
      </c>
      <c r="U50" s="44">
        <v>1563</v>
      </c>
      <c r="V50" s="58">
        <v>3000</v>
      </c>
      <c r="W50" s="45">
        <v>270</v>
      </c>
      <c r="X50" s="38"/>
    </row>
    <row r="51" spans="1:24" ht="20.399999999999999" x14ac:dyDescent="0.3">
      <c r="A51" s="39">
        <v>62</v>
      </c>
      <c r="B51" s="39" t="s">
        <v>82</v>
      </c>
      <c r="C51" s="39" t="s">
        <v>217</v>
      </c>
      <c r="D51" s="39"/>
      <c r="E51" s="39"/>
      <c r="F51" s="39" t="s">
        <v>218</v>
      </c>
      <c r="G51" s="39" t="s">
        <v>85</v>
      </c>
      <c r="H51" s="46" t="s">
        <v>215</v>
      </c>
      <c r="I51" s="39" t="s">
        <v>219</v>
      </c>
      <c r="J51" s="39" t="s">
        <v>28</v>
      </c>
      <c r="K51" s="39">
        <v>0.6</v>
      </c>
      <c r="L51" s="40">
        <v>46179</v>
      </c>
      <c r="M51" s="41">
        <v>0.29166666666666669</v>
      </c>
      <c r="N51" s="40">
        <v>46179</v>
      </c>
      <c r="O51" s="41">
        <v>0.41666666666666669</v>
      </c>
      <c r="P51" s="42">
        <v>3000</v>
      </c>
      <c r="Q51" s="42">
        <v>0</v>
      </c>
      <c r="R51" s="39" t="s">
        <v>220</v>
      </c>
      <c r="S51" s="39" t="s">
        <v>4</v>
      </c>
      <c r="T51" s="58">
        <v>2909</v>
      </c>
      <c r="U51" s="44">
        <v>2909</v>
      </c>
      <c r="V51" s="58">
        <v>1800</v>
      </c>
      <c r="W51" s="45">
        <v>162</v>
      </c>
      <c r="X51" s="38"/>
    </row>
    <row r="52" spans="1:24" ht="20.399999999999999" x14ac:dyDescent="0.3">
      <c r="A52" s="39">
        <v>63</v>
      </c>
      <c r="B52" s="39" t="s">
        <v>82</v>
      </c>
      <c r="C52" s="39" t="s">
        <v>221</v>
      </c>
      <c r="D52" s="39"/>
      <c r="E52" s="39"/>
      <c r="F52" s="39" t="s">
        <v>222</v>
      </c>
      <c r="G52" s="39" t="s">
        <v>85</v>
      </c>
      <c r="H52" s="39" t="s">
        <v>297</v>
      </c>
      <c r="I52" s="39" t="s">
        <v>223</v>
      </c>
      <c r="J52" s="39" t="s">
        <v>28</v>
      </c>
      <c r="K52" s="39">
        <v>0.05</v>
      </c>
      <c r="L52" s="40">
        <v>46172</v>
      </c>
      <c r="M52" s="41">
        <v>0.33333333333333331</v>
      </c>
      <c r="N52" s="40">
        <v>46172</v>
      </c>
      <c r="O52" s="41">
        <v>0.39583333333333331</v>
      </c>
      <c r="P52" s="42">
        <v>250</v>
      </c>
      <c r="Q52" s="42">
        <v>0</v>
      </c>
      <c r="R52" s="39" t="s">
        <v>224</v>
      </c>
      <c r="S52" s="39" t="s">
        <v>4</v>
      </c>
      <c r="T52" s="58">
        <v>31</v>
      </c>
      <c r="U52" s="44">
        <v>31</v>
      </c>
      <c r="V52" s="58">
        <v>75</v>
      </c>
      <c r="W52" s="45">
        <v>6.75</v>
      </c>
      <c r="X52" s="38"/>
    </row>
    <row r="53" spans="1:24" ht="20.399999999999999" x14ac:dyDescent="0.3">
      <c r="A53" s="39">
        <v>64</v>
      </c>
      <c r="B53" s="39" t="s">
        <v>82</v>
      </c>
      <c r="C53" s="39" t="s">
        <v>221</v>
      </c>
      <c r="D53" s="39"/>
      <c r="E53" s="39"/>
      <c r="F53" s="39" t="s">
        <v>222</v>
      </c>
      <c r="G53" s="39" t="s">
        <v>85</v>
      </c>
      <c r="H53" s="39" t="s">
        <v>297</v>
      </c>
      <c r="I53" s="39" t="s">
        <v>223</v>
      </c>
      <c r="J53" s="39" t="s">
        <v>28</v>
      </c>
      <c r="K53" s="39">
        <v>0.05</v>
      </c>
      <c r="L53" s="40">
        <v>46172</v>
      </c>
      <c r="M53" s="41">
        <v>0.45833333333333331</v>
      </c>
      <c r="N53" s="40">
        <v>46172</v>
      </c>
      <c r="O53" s="41">
        <v>0.52083333333333337</v>
      </c>
      <c r="P53" s="42">
        <v>250</v>
      </c>
      <c r="Q53" s="42">
        <v>0</v>
      </c>
      <c r="R53" s="39" t="s">
        <v>224</v>
      </c>
      <c r="S53" s="39" t="s">
        <v>4</v>
      </c>
      <c r="T53" s="58">
        <v>63</v>
      </c>
      <c r="U53" s="44">
        <v>63</v>
      </c>
      <c r="V53" s="58">
        <v>75.000000000000071</v>
      </c>
      <c r="W53" s="45">
        <v>6.7500000000000062</v>
      </c>
      <c r="X53" s="38"/>
    </row>
    <row r="54" spans="1:24" ht="20.399999999999999" x14ac:dyDescent="0.3">
      <c r="A54" s="39">
        <v>65</v>
      </c>
      <c r="B54" s="39" t="s">
        <v>82</v>
      </c>
      <c r="C54" s="39" t="s">
        <v>221</v>
      </c>
      <c r="D54" s="39"/>
      <c r="E54" s="39"/>
      <c r="F54" s="39" t="s">
        <v>222</v>
      </c>
      <c r="G54" s="39" t="s">
        <v>85</v>
      </c>
      <c r="H54" s="39" t="s">
        <v>297</v>
      </c>
      <c r="I54" s="39" t="s">
        <v>223</v>
      </c>
      <c r="J54" s="39" t="s">
        <v>28</v>
      </c>
      <c r="K54" s="39">
        <v>0.05</v>
      </c>
      <c r="L54" s="40">
        <v>46172</v>
      </c>
      <c r="M54" s="41">
        <v>0.58333333333333337</v>
      </c>
      <c r="N54" s="40">
        <v>46172</v>
      </c>
      <c r="O54" s="41">
        <v>0.64583333333333337</v>
      </c>
      <c r="P54" s="42">
        <v>250</v>
      </c>
      <c r="Q54" s="42">
        <v>0</v>
      </c>
      <c r="R54" s="39" t="s">
        <v>224</v>
      </c>
      <c r="S54" s="39" t="s">
        <v>4</v>
      </c>
      <c r="T54" s="58">
        <v>1</v>
      </c>
      <c r="U54" s="44">
        <v>1</v>
      </c>
      <c r="V54" s="58">
        <v>75</v>
      </c>
      <c r="W54" s="45">
        <v>6.75</v>
      </c>
      <c r="X54" s="38"/>
    </row>
    <row r="55" spans="1:24" ht="20.399999999999999" x14ac:dyDescent="0.3">
      <c r="A55" s="39">
        <v>66</v>
      </c>
      <c r="B55" s="39" t="s">
        <v>82</v>
      </c>
      <c r="C55" s="39" t="s">
        <v>221</v>
      </c>
      <c r="D55" s="39"/>
      <c r="E55" s="39"/>
      <c r="F55" s="39" t="s">
        <v>222</v>
      </c>
      <c r="G55" s="39" t="s">
        <v>85</v>
      </c>
      <c r="H55" s="39" t="s">
        <v>297</v>
      </c>
      <c r="I55" s="39" t="s">
        <v>223</v>
      </c>
      <c r="J55" s="39" t="s">
        <v>28</v>
      </c>
      <c r="K55" s="39">
        <v>0.05</v>
      </c>
      <c r="L55" s="40">
        <v>46172</v>
      </c>
      <c r="M55" s="41">
        <v>0.64583333333333337</v>
      </c>
      <c r="N55" s="40">
        <v>46172</v>
      </c>
      <c r="O55" s="41">
        <v>0.70833333333333337</v>
      </c>
      <c r="P55" s="42">
        <v>250</v>
      </c>
      <c r="Q55" s="42">
        <v>0</v>
      </c>
      <c r="R55" s="39" t="s">
        <v>224</v>
      </c>
      <c r="S55" s="39" t="s">
        <v>4</v>
      </c>
      <c r="T55" s="58">
        <v>24</v>
      </c>
      <c r="U55" s="44">
        <v>24</v>
      </c>
      <c r="V55" s="58">
        <v>75</v>
      </c>
      <c r="W55" s="45">
        <v>6.75</v>
      </c>
      <c r="X55" s="38"/>
    </row>
    <row r="56" spans="1:24" ht="20.399999999999999" x14ac:dyDescent="0.3">
      <c r="A56" s="39">
        <v>67</v>
      </c>
      <c r="B56" s="39" t="s">
        <v>82</v>
      </c>
      <c r="C56" s="39" t="s">
        <v>221</v>
      </c>
      <c r="D56" s="39"/>
      <c r="E56" s="39"/>
      <c r="F56" s="39" t="s">
        <v>222</v>
      </c>
      <c r="G56" s="39" t="s">
        <v>85</v>
      </c>
      <c r="H56" s="39" t="s">
        <v>297</v>
      </c>
      <c r="I56" s="39" t="s">
        <v>223</v>
      </c>
      <c r="J56" s="39" t="s">
        <v>28</v>
      </c>
      <c r="K56" s="39">
        <v>0.05</v>
      </c>
      <c r="L56" s="40">
        <v>46180</v>
      </c>
      <c r="M56" s="41">
        <v>0.45833333333333331</v>
      </c>
      <c r="N56" s="40">
        <v>46180</v>
      </c>
      <c r="O56" s="41">
        <v>0.52083333333333337</v>
      </c>
      <c r="P56" s="42">
        <v>250</v>
      </c>
      <c r="Q56" s="42">
        <v>0</v>
      </c>
      <c r="R56" s="39" t="s">
        <v>224</v>
      </c>
      <c r="S56" s="39" t="s">
        <v>4</v>
      </c>
      <c r="T56" s="58">
        <v>30</v>
      </c>
      <c r="U56" s="44">
        <v>30</v>
      </c>
      <c r="V56" s="58">
        <v>75.000000000000071</v>
      </c>
      <c r="W56" s="45">
        <v>6.7500000000000062</v>
      </c>
      <c r="X56" s="38"/>
    </row>
    <row r="57" spans="1:24" ht="20.399999999999999" x14ac:dyDescent="0.3">
      <c r="A57" s="39">
        <v>68</v>
      </c>
      <c r="B57" s="39" t="s">
        <v>82</v>
      </c>
      <c r="C57" s="39" t="s">
        <v>221</v>
      </c>
      <c r="D57" s="39"/>
      <c r="E57" s="39"/>
      <c r="F57" s="39" t="s">
        <v>225</v>
      </c>
      <c r="G57" s="39" t="s">
        <v>85</v>
      </c>
      <c r="H57" s="39" t="s">
        <v>297</v>
      </c>
      <c r="I57" s="39" t="s">
        <v>226</v>
      </c>
      <c r="J57" s="39" t="s">
        <v>28</v>
      </c>
      <c r="K57" s="39">
        <v>0.05</v>
      </c>
      <c r="L57" s="40">
        <v>46180</v>
      </c>
      <c r="M57" s="41">
        <v>0.64583333333333337</v>
      </c>
      <c r="N57" s="40">
        <v>46180</v>
      </c>
      <c r="O57" s="41">
        <v>0.70833333333333337</v>
      </c>
      <c r="P57" s="42">
        <v>250</v>
      </c>
      <c r="Q57" s="42">
        <v>0</v>
      </c>
      <c r="R57" s="39" t="s">
        <v>224</v>
      </c>
      <c r="S57" s="39" t="s">
        <v>4</v>
      </c>
      <c r="T57" s="58">
        <v>130</v>
      </c>
      <c r="U57" s="44">
        <v>130</v>
      </c>
      <c r="V57" s="58">
        <v>75</v>
      </c>
      <c r="W57" s="45">
        <v>6.75</v>
      </c>
      <c r="X57" s="38"/>
    </row>
    <row r="58" spans="1:24" ht="51" x14ac:dyDescent="0.3">
      <c r="A58" s="39">
        <v>69</v>
      </c>
      <c r="B58" s="39" t="s">
        <v>82</v>
      </c>
      <c r="C58" s="39" t="s">
        <v>227</v>
      </c>
      <c r="D58" s="39"/>
      <c r="E58" s="39"/>
      <c r="F58" s="39" t="s">
        <v>228</v>
      </c>
      <c r="G58" s="39" t="s">
        <v>85</v>
      </c>
      <c r="H58" s="39" t="s">
        <v>297</v>
      </c>
      <c r="I58" s="39" t="s">
        <v>229</v>
      </c>
      <c r="J58" s="39" t="s">
        <v>28</v>
      </c>
      <c r="K58" s="39">
        <v>1.5</v>
      </c>
      <c r="L58" s="40">
        <v>46179</v>
      </c>
      <c r="M58" s="41">
        <v>0.375</v>
      </c>
      <c r="N58" s="40">
        <v>46179</v>
      </c>
      <c r="O58" s="41">
        <v>0.5</v>
      </c>
      <c r="P58" s="42">
        <v>16134.49</v>
      </c>
      <c r="Q58" s="42">
        <v>2063.54</v>
      </c>
      <c r="R58" s="39" t="s">
        <v>230</v>
      </c>
      <c r="S58" s="47" t="s">
        <v>4</v>
      </c>
      <c r="T58" s="58">
        <v>41</v>
      </c>
      <c r="U58" s="44">
        <v>41</v>
      </c>
      <c r="V58" s="58">
        <v>4500</v>
      </c>
      <c r="W58" s="45">
        <v>405</v>
      </c>
      <c r="X58" s="38"/>
    </row>
    <row r="59" spans="1:24" ht="30.6" x14ac:dyDescent="0.3">
      <c r="A59" s="39">
        <v>70</v>
      </c>
      <c r="B59" s="39" t="s">
        <v>82</v>
      </c>
      <c r="C59" s="39" t="s">
        <v>231</v>
      </c>
      <c r="D59" s="39"/>
      <c r="E59" s="39"/>
      <c r="F59" s="39" t="s">
        <v>232</v>
      </c>
      <c r="G59" s="39" t="s">
        <v>85</v>
      </c>
      <c r="H59" s="39" t="s">
        <v>232</v>
      </c>
      <c r="I59" s="39" t="s">
        <v>233</v>
      </c>
      <c r="J59" s="39" t="s">
        <v>28</v>
      </c>
      <c r="K59" s="39">
        <v>0.05</v>
      </c>
      <c r="L59" s="40">
        <v>46172</v>
      </c>
      <c r="M59" s="41">
        <v>0.58333333333333337</v>
      </c>
      <c r="N59" s="40">
        <v>46172</v>
      </c>
      <c r="O59" s="41">
        <v>0.70833333333333337</v>
      </c>
      <c r="P59" s="42">
        <v>3854.48</v>
      </c>
      <c r="Q59" s="42">
        <v>0</v>
      </c>
      <c r="R59" s="39" t="s">
        <v>234</v>
      </c>
      <c r="S59" s="47" t="s">
        <v>4</v>
      </c>
      <c r="T59" s="58">
        <v>64</v>
      </c>
      <c r="U59" s="44">
        <v>64</v>
      </c>
      <c r="V59" s="58">
        <v>150</v>
      </c>
      <c r="W59" s="45">
        <v>13.5</v>
      </c>
      <c r="X59" s="38"/>
    </row>
    <row r="60" spans="1:24" ht="20.399999999999999" x14ac:dyDescent="0.3">
      <c r="A60" s="39">
        <v>71</v>
      </c>
      <c r="B60" s="39" t="s">
        <v>82</v>
      </c>
      <c r="C60" s="39" t="s">
        <v>235</v>
      </c>
      <c r="D60" s="39"/>
      <c r="E60" s="39"/>
      <c r="F60" s="39" t="s">
        <v>222</v>
      </c>
      <c r="G60" s="39" t="s">
        <v>85</v>
      </c>
      <c r="H60" s="39" t="s">
        <v>297</v>
      </c>
      <c r="I60" s="39" t="s">
        <v>223</v>
      </c>
      <c r="J60" s="39" t="s">
        <v>28</v>
      </c>
      <c r="K60" s="39">
        <v>0.05</v>
      </c>
      <c r="L60" s="40">
        <v>46172</v>
      </c>
      <c r="M60" s="41">
        <v>0.39583333333333331</v>
      </c>
      <c r="N60" s="40">
        <v>46172</v>
      </c>
      <c r="O60" s="41">
        <v>0.45833333333333331</v>
      </c>
      <c r="P60" s="42">
        <v>250</v>
      </c>
      <c r="Q60" s="42">
        <v>0</v>
      </c>
      <c r="R60" s="39" t="s">
        <v>224</v>
      </c>
      <c r="S60" s="47" t="s">
        <v>4</v>
      </c>
      <c r="T60" s="58">
        <v>64</v>
      </c>
      <c r="U60" s="44">
        <v>64</v>
      </c>
      <c r="V60" s="58">
        <v>75</v>
      </c>
      <c r="W60" s="45">
        <v>6.75</v>
      </c>
      <c r="X60" s="38"/>
    </row>
    <row r="61" spans="1:24" ht="20.399999999999999" x14ac:dyDescent="0.3">
      <c r="A61" s="39">
        <v>72</v>
      </c>
      <c r="B61" s="39" t="s">
        <v>82</v>
      </c>
      <c r="C61" s="39" t="s">
        <v>236</v>
      </c>
      <c r="D61" s="39"/>
      <c r="E61" s="39"/>
      <c r="F61" s="39" t="s">
        <v>222</v>
      </c>
      <c r="G61" s="39" t="s">
        <v>85</v>
      </c>
      <c r="H61" s="39" t="s">
        <v>297</v>
      </c>
      <c r="I61" s="39" t="s">
        <v>223</v>
      </c>
      <c r="J61" s="39" t="s">
        <v>28</v>
      </c>
      <c r="K61" s="39">
        <v>0.05</v>
      </c>
      <c r="L61" s="40">
        <v>46180</v>
      </c>
      <c r="M61" s="41">
        <v>0.52083333333333337</v>
      </c>
      <c r="N61" s="40">
        <v>46180</v>
      </c>
      <c r="O61" s="41">
        <v>0.58333333333333337</v>
      </c>
      <c r="P61" s="42">
        <v>250</v>
      </c>
      <c r="Q61" s="42">
        <v>0</v>
      </c>
      <c r="R61" s="39" t="s">
        <v>224</v>
      </c>
      <c r="S61" s="47" t="s">
        <v>4</v>
      </c>
      <c r="T61" s="58">
        <v>45</v>
      </c>
      <c r="U61" s="44">
        <v>45</v>
      </c>
      <c r="V61" s="58">
        <v>75</v>
      </c>
      <c r="W61" s="45">
        <v>6.75</v>
      </c>
      <c r="X61" s="38"/>
    </row>
    <row r="62" spans="1:24" ht="20.399999999999999" x14ac:dyDescent="0.3">
      <c r="A62" s="39">
        <v>73</v>
      </c>
      <c r="B62" s="39" t="s">
        <v>82</v>
      </c>
      <c r="C62" s="39" t="s">
        <v>237</v>
      </c>
      <c r="D62" s="39"/>
      <c r="E62" s="39"/>
      <c r="F62" s="39" t="s">
        <v>225</v>
      </c>
      <c r="G62" s="39" t="s">
        <v>85</v>
      </c>
      <c r="H62" s="39" t="s">
        <v>297</v>
      </c>
      <c r="I62" s="39" t="s">
        <v>226</v>
      </c>
      <c r="J62" s="39" t="s">
        <v>28</v>
      </c>
      <c r="K62" s="39">
        <v>0.05</v>
      </c>
      <c r="L62" s="40">
        <v>46180</v>
      </c>
      <c r="M62" s="41">
        <v>0.39583333333333331</v>
      </c>
      <c r="N62" s="40">
        <v>46180</v>
      </c>
      <c r="O62" s="41">
        <v>0.45833333333333331</v>
      </c>
      <c r="P62" s="42">
        <v>100</v>
      </c>
      <c r="Q62" s="42">
        <v>0</v>
      </c>
      <c r="R62" s="39" t="s">
        <v>224</v>
      </c>
      <c r="S62" s="47" t="s">
        <v>4</v>
      </c>
      <c r="T62" s="58">
        <v>32</v>
      </c>
      <c r="U62" s="44">
        <v>32</v>
      </c>
      <c r="V62" s="58">
        <v>75</v>
      </c>
      <c r="W62" s="45">
        <v>6.75</v>
      </c>
      <c r="X62" s="38"/>
    </row>
    <row r="63" spans="1:24" ht="20.399999999999999" x14ac:dyDescent="0.3">
      <c r="A63" s="39">
        <v>74</v>
      </c>
      <c r="B63" s="39" t="s">
        <v>82</v>
      </c>
      <c r="C63" s="39" t="s">
        <v>238</v>
      </c>
      <c r="D63" s="39"/>
      <c r="E63" s="39"/>
      <c r="F63" s="39" t="s">
        <v>225</v>
      </c>
      <c r="G63" s="39" t="s">
        <v>85</v>
      </c>
      <c r="H63" s="39" t="s">
        <v>297</v>
      </c>
      <c r="I63" s="39" t="s">
        <v>226</v>
      </c>
      <c r="J63" s="39" t="s">
        <v>28</v>
      </c>
      <c r="K63" s="39">
        <v>0.05</v>
      </c>
      <c r="L63" s="40">
        <v>46180</v>
      </c>
      <c r="M63" s="41">
        <v>0.33333333333333331</v>
      </c>
      <c r="N63" s="40">
        <v>46180</v>
      </c>
      <c r="O63" s="41">
        <v>0.39583333333333331</v>
      </c>
      <c r="P63" s="42">
        <v>250</v>
      </c>
      <c r="Q63" s="42">
        <v>0</v>
      </c>
      <c r="R63" s="39" t="s">
        <v>224</v>
      </c>
      <c r="S63" s="47" t="s">
        <v>4</v>
      </c>
      <c r="T63" s="58">
        <v>14</v>
      </c>
      <c r="U63" s="44">
        <v>14</v>
      </c>
      <c r="V63" s="58">
        <v>75</v>
      </c>
      <c r="W63" s="45">
        <v>6.75</v>
      </c>
      <c r="X63" s="38"/>
    </row>
    <row r="64" spans="1:24" ht="20.399999999999999" x14ac:dyDescent="0.3">
      <c r="A64" s="39">
        <v>75</v>
      </c>
      <c r="B64" s="39" t="s">
        <v>82</v>
      </c>
      <c r="C64" s="39" t="s">
        <v>239</v>
      </c>
      <c r="D64" s="39"/>
      <c r="E64" s="39"/>
      <c r="F64" s="39" t="s">
        <v>225</v>
      </c>
      <c r="G64" s="39" t="s">
        <v>85</v>
      </c>
      <c r="H64" s="39" t="s">
        <v>297</v>
      </c>
      <c r="I64" s="39" t="s">
        <v>226</v>
      </c>
      <c r="J64" s="39" t="s">
        <v>28</v>
      </c>
      <c r="K64" s="39">
        <v>0.05</v>
      </c>
      <c r="L64" s="40">
        <v>46179</v>
      </c>
      <c r="M64" s="41">
        <v>0.39583333333333331</v>
      </c>
      <c r="N64" s="40">
        <v>46179</v>
      </c>
      <c r="O64" s="41">
        <v>0.45833333333333331</v>
      </c>
      <c r="P64" s="42">
        <v>80</v>
      </c>
      <c r="Q64" s="42">
        <v>0</v>
      </c>
      <c r="R64" s="39" t="s">
        <v>224</v>
      </c>
      <c r="S64" s="47" t="s">
        <v>4</v>
      </c>
      <c r="T64" s="58">
        <v>87</v>
      </c>
      <c r="U64" s="44">
        <v>87</v>
      </c>
      <c r="V64" s="58">
        <v>75</v>
      </c>
      <c r="W64" s="45">
        <v>6.75</v>
      </c>
      <c r="X64" s="38"/>
    </row>
    <row r="65" spans="1:24" ht="20.399999999999999" x14ac:dyDescent="0.3">
      <c r="A65" s="39">
        <v>76</v>
      </c>
      <c r="B65" s="39" t="s">
        <v>82</v>
      </c>
      <c r="C65" s="39" t="s">
        <v>239</v>
      </c>
      <c r="D65" s="39"/>
      <c r="E65" s="39"/>
      <c r="F65" s="39" t="s">
        <v>225</v>
      </c>
      <c r="G65" s="39" t="s">
        <v>85</v>
      </c>
      <c r="H65" s="39" t="s">
        <v>297</v>
      </c>
      <c r="I65" s="39" t="s">
        <v>226</v>
      </c>
      <c r="J65" s="39" t="s">
        <v>28</v>
      </c>
      <c r="K65" s="39">
        <v>0.05</v>
      </c>
      <c r="L65" s="40">
        <v>46179</v>
      </c>
      <c r="M65" s="41">
        <v>0.45833333333333331</v>
      </c>
      <c r="N65" s="40">
        <v>46179</v>
      </c>
      <c r="O65" s="41">
        <v>0.52083333333333337</v>
      </c>
      <c r="P65" s="42">
        <v>80</v>
      </c>
      <c r="Q65" s="42">
        <v>0</v>
      </c>
      <c r="R65" s="39" t="s">
        <v>224</v>
      </c>
      <c r="S65" s="47" t="s">
        <v>4</v>
      </c>
      <c r="T65" s="58">
        <v>25</v>
      </c>
      <c r="U65" s="44">
        <v>25</v>
      </c>
      <c r="V65" s="58">
        <v>75.000000000000071</v>
      </c>
      <c r="W65" s="45">
        <v>6.7500000000000062</v>
      </c>
      <c r="X65" s="38"/>
    </row>
    <row r="66" spans="1:24" ht="20.399999999999999" x14ac:dyDescent="0.3">
      <c r="A66" s="39">
        <v>77</v>
      </c>
      <c r="B66" s="39" t="s">
        <v>82</v>
      </c>
      <c r="C66" s="39" t="s">
        <v>240</v>
      </c>
      <c r="D66" s="39"/>
      <c r="E66" s="39"/>
      <c r="F66" s="39" t="s">
        <v>225</v>
      </c>
      <c r="G66" s="39" t="s">
        <v>85</v>
      </c>
      <c r="H66" s="39" t="s">
        <v>297</v>
      </c>
      <c r="I66" s="39" t="s">
        <v>226</v>
      </c>
      <c r="J66" s="39" t="s">
        <v>28</v>
      </c>
      <c r="K66" s="39">
        <v>0.05</v>
      </c>
      <c r="L66" s="40">
        <v>46180</v>
      </c>
      <c r="M66" s="41">
        <v>0.58333333333333337</v>
      </c>
      <c r="N66" s="40">
        <v>46180</v>
      </c>
      <c r="O66" s="41">
        <v>0.64583333333333337</v>
      </c>
      <c r="P66" s="42">
        <v>250</v>
      </c>
      <c r="Q66" s="42">
        <v>0</v>
      </c>
      <c r="R66" s="39" t="s">
        <v>224</v>
      </c>
      <c r="S66" s="47" t="s">
        <v>4</v>
      </c>
      <c r="T66" s="58">
        <v>97</v>
      </c>
      <c r="U66" s="44">
        <v>97</v>
      </c>
      <c r="V66" s="58">
        <v>75</v>
      </c>
      <c r="W66" s="45">
        <v>6.75</v>
      </c>
      <c r="X66" s="38"/>
    </row>
    <row r="67" spans="1:24" ht="20.399999999999999" x14ac:dyDescent="0.3">
      <c r="A67" s="39">
        <v>78</v>
      </c>
      <c r="B67" s="39" t="s">
        <v>82</v>
      </c>
      <c r="C67" s="39" t="s">
        <v>241</v>
      </c>
      <c r="D67" s="39"/>
      <c r="E67" s="39"/>
      <c r="F67" s="39" t="s">
        <v>222</v>
      </c>
      <c r="G67" s="39" t="s">
        <v>85</v>
      </c>
      <c r="H67" s="39" t="s">
        <v>297</v>
      </c>
      <c r="I67" s="39" t="s">
        <v>223</v>
      </c>
      <c r="J67" s="39" t="s">
        <v>28</v>
      </c>
      <c r="K67" s="39">
        <v>0.05</v>
      </c>
      <c r="L67" s="40">
        <v>46172</v>
      </c>
      <c r="M67" s="41">
        <v>0.52083333333333337</v>
      </c>
      <c r="N67" s="40">
        <v>46172</v>
      </c>
      <c r="O67" s="41">
        <v>0.58333333333333337</v>
      </c>
      <c r="P67" s="42">
        <v>250</v>
      </c>
      <c r="Q67" s="42">
        <v>0</v>
      </c>
      <c r="R67" s="39" t="s">
        <v>224</v>
      </c>
      <c r="S67" s="47" t="s">
        <v>4</v>
      </c>
      <c r="T67" s="58">
        <v>24</v>
      </c>
      <c r="U67" s="44">
        <v>24</v>
      </c>
      <c r="V67" s="58">
        <v>75</v>
      </c>
      <c r="W67" s="45">
        <v>6.75</v>
      </c>
      <c r="X67" s="38"/>
    </row>
    <row r="68" spans="1:24" ht="20.399999999999999" x14ac:dyDescent="0.3">
      <c r="A68" s="39">
        <v>79</v>
      </c>
      <c r="B68" s="39" t="s">
        <v>82</v>
      </c>
      <c r="C68" s="39" t="s">
        <v>242</v>
      </c>
      <c r="D68" s="39"/>
      <c r="E68" s="39"/>
      <c r="F68" s="39" t="s">
        <v>225</v>
      </c>
      <c r="G68" s="39" t="s">
        <v>85</v>
      </c>
      <c r="H68" s="39" t="s">
        <v>297</v>
      </c>
      <c r="I68" s="39" t="s">
        <v>226</v>
      </c>
      <c r="J68" s="39" t="s">
        <v>28</v>
      </c>
      <c r="K68" s="39">
        <v>0.05</v>
      </c>
      <c r="L68" s="40">
        <v>46179</v>
      </c>
      <c r="M68" s="41">
        <v>0.58333333333333337</v>
      </c>
      <c r="N68" s="40">
        <v>46179</v>
      </c>
      <c r="O68" s="41">
        <v>0.64583333333333337</v>
      </c>
      <c r="P68" s="42">
        <v>250</v>
      </c>
      <c r="Q68" s="42">
        <v>0</v>
      </c>
      <c r="R68" s="39" t="s">
        <v>224</v>
      </c>
      <c r="S68" s="47" t="s">
        <v>4</v>
      </c>
      <c r="T68" s="58">
        <v>24</v>
      </c>
      <c r="U68" s="44">
        <v>24</v>
      </c>
      <c r="V68" s="58">
        <v>75</v>
      </c>
      <c r="W68" s="45">
        <v>6.75</v>
      </c>
      <c r="X68" s="38"/>
    </row>
    <row r="69" spans="1:24" ht="20.399999999999999" x14ac:dyDescent="0.3">
      <c r="A69" s="39">
        <v>80</v>
      </c>
      <c r="B69" s="39" t="s">
        <v>82</v>
      </c>
      <c r="C69" s="39" t="s">
        <v>243</v>
      </c>
      <c r="D69" s="39"/>
      <c r="E69" s="39"/>
      <c r="F69" s="39" t="s">
        <v>225</v>
      </c>
      <c r="G69" s="39" t="s">
        <v>85</v>
      </c>
      <c r="H69" s="39" t="s">
        <v>297</v>
      </c>
      <c r="I69" s="39" t="s">
        <v>226</v>
      </c>
      <c r="J69" s="39" t="s">
        <v>28</v>
      </c>
      <c r="K69" s="39">
        <v>0.05</v>
      </c>
      <c r="L69" s="40">
        <v>46179</v>
      </c>
      <c r="M69" s="41">
        <v>0.33333333333333331</v>
      </c>
      <c r="N69" s="40">
        <v>46179</v>
      </c>
      <c r="O69" s="41">
        <v>0.39583333333333331</v>
      </c>
      <c r="P69" s="42">
        <v>200</v>
      </c>
      <c r="Q69" s="42">
        <v>0</v>
      </c>
      <c r="R69" s="39" t="s">
        <v>224</v>
      </c>
      <c r="S69" s="47" t="s">
        <v>4</v>
      </c>
      <c r="T69" s="58">
        <v>72</v>
      </c>
      <c r="U69" s="44">
        <v>72</v>
      </c>
      <c r="V69" s="58">
        <v>75</v>
      </c>
      <c r="W69" s="45">
        <v>6.75</v>
      </c>
      <c r="X69" s="38"/>
    </row>
    <row r="70" spans="1:24" ht="20.399999999999999" x14ac:dyDescent="0.3">
      <c r="A70" s="39">
        <v>81</v>
      </c>
      <c r="B70" s="39" t="s">
        <v>82</v>
      </c>
      <c r="C70" s="39" t="s">
        <v>243</v>
      </c>
      <c r="D70" s="39"/>
      <c r="E70" s="39"/>
      <c r="F70" s="39" t="s">
        <v>225</v>
      </c>
      <c r="G70" s="39" t="s">
        <v>85</v>
      </c>
      <c r="H70" s="39" t="s">
        <v>297</v>
      </c>
      <c r="I70" s="39" t="s">
        <v>226</v>
      </c>
      <c r="J70" s="39" t="s">
        <v>28</v>
      </c>
      <c r="K70" s="39">
        <v>0.05</v>
      </c>
      <c r="L70" s="40">
        <v>46179</v>
      </c>
      <c r="M70" s="41">
        <v>0.64583333333333337</v>
      </c>
      <c r="N70" s="40">
        <v>46179</v>
      </c>
      <c r="O70" s="41">
        <v>0.70833333333333337</v>
      </c>
      <c r="P70" s="42">
        <v>250</v>
      </c>
      <c r="Q70" s="42">
        <v>0</v>
      </c>
      <c r="R70" s="39" t="s">
        <v>224</v>
      </c>
      <c r="S70" s="47" t="s">
        <v>4</v>
      </c>
      <c r="T70" s="58">
        <v>26</v>
      </c>
      <c r="U70" s="44">
        <v>26</v>
      </c>
      <c r="V70" s="58">
        <v>75</v>
      </c>
      <c r="W70" s="45">
        <v>6.75</v>
      </c>
      <c r="X70" s="38"/>
    </row>
    <row r="71" spans="1:24" ht="51" x14ac:dyDescent="0.3">
      <c r="A71" s="39">
        <v>82</v>
      </c>
      <c r="B71" s="39" t="s">
        <v>142</v>
      </c>
      <c r="C71" s="39" t="s">
        <v>248</v>
      </c>
      <c r="D71" s="39"/>
      <c r="E71" s="39"/>
      <c r="F71" s="39" t="s">
        <v>249</v>
      </c>
      <c r="G71" s="39" t="s">
        <v>145</v>
      </c>
      <c r="H71" s="39" t="s">
        <v>295</v>
      </c>
      <c r="I71" s="39" t="s">
        <v>250</v>
      </c>
      <c r="J71" s="39" t="s">
        <v>251</v>
      </c>
      <c r="K71" s="39">
        <v>0.6</v>
      </c>
      <c r="L71" s="40">
        <v>46172</v>
      </c>
      <c r="M71" s="41">
        <v>0.58333333333333337</v>
      </c>
      <c r="N71" s="40">
        <v>46172</v>
      </c>
      <c r="O71" s="41">
        <v>0.70833333333333337</v>
      </c>
      <c r="P71" s="48">
        <v>290410.31</v>
      </c>
      <c r="Q71" s="42">
        <v>0</v>
      </c>
      <c r="R71" s="39" t="s">
        <v>148</v>
      </c>
      <c r="S71" s="39" t="s">
        <v>4</v>
      </c>
      <c r="T71" s="58">
        <v>1285</v>
      </c>
      <c r="U71" s="44">
        <v>1285</v>
      </c>
      <c r="V71" s="58">
        <v>1800</v>
      </c>
      <c r="W71" s="45">
        <v>162</v>
      </c>
      <c r="X71" s="38"/>
    </row>
    <row r="72" spans="1:24" ht="51" x14ac:dyDescent="0.3">
      <c r="A72" s="39">
        <v>83</v>
      </c>
      <c r="B72" s="39" t="s">
        <v>142</v>
      </c>
      <c r="C72" s="39" t="s">
        <v>248</v>
      </c>
      <c r="D72" s="39"/>
      <c r="E72" s="39"/>
      <c r="F72" s="39" t="s">
        <v>249</v>
      </c>
      <c r="G72" s="39" t="s">
        <v>145</v>
      </c>
      <c r="H72" s="39" t="s">
        <v>295</v>
      </c>
      <c r="I72" s="39" t="s">
        <v>250</v>
      </c>
      <c r="J72" s="39" t="s">
        <v>251</v>
      </c>
      <c r="K72" s="39">
        <v>0.6</v>
      </c>
      <c r="L72" s="40">
        <v>46173</v>
      </c>
      <c r="M72" s="41">
        <v>0.58333333333333337</v>
      </c>
      <c r="N72" s="40">
        <v>46173</v>
      </c>
      <c r="O72" s="41">
        <v>0.70833333333333337</v>
      </c>
      <c r="P72" s="48">
        <v>290410.31</v>
      </c>
      <c r="Q72" s="42">
        <v>0</v>
      </c>
      <c r="R72" s="39" t="s">
        <v>148</v>
      </c>
      <c r="S72" s="39" t="s">
        <v>4</v>
      </c>
      <c r="T72" s="58">
        <v>1285</v>
      </c>
      <c r="U72" s="44">
        <v>1285</v>
      </c>
      <c r="V72" s="58">
        <v>1800</v>
      </c>
      <c r="W72" s="45">
        <v>162</v>
      </c>
      <c r="X72" s="38"/>
    </row>
    <row r="73" spans="1:24" ht="51" x14ac:dyDescent="0.3">
      <c r="A73" s="39">
        <v>84</v>
      </c>
      <c r="B73" s="39" t="s">
        <v>142</v>
      </c>
      <c r="C73" s="39" t="s">
        <v>248</v>
      </c>
      <c r="D73" s="39"/>
      <c r="E73" s="39"/>
      <c r="F73" s="39" t="s">
        <v>252</v>
      </c>
      <c r="G73" s="39" t="s">
        <v>145</v>
      </c>
      <c r="H73" s="39" t="s">
        <v>295</v>
      </c>
      <c r="I73" s="39" t="s">
        <v>253</v>
      </c>
      <c r="J73" s="39" t="s">
        <v>251</v>
      </c>
      <c r="K73" s="39">
        <v>1.2</v>
      </c>
      <c r="L73" s="40">
        <v>46179</v>
      </c>
      <c r="M73" s="41">
        <v>0.58333333333333337</v>
      </c>
      <c r="N73" s="40">
        <v>46179</v>
      </c>
      <c r="O73" s="41">
        <v>0.70833333333333337</v>
      </c>
      <c r="P73" s="48">
        <v>290410.31</v>
      </c>
      <c r="Q73" s="42">
        <v>0</v>
      </c>
      <c r="R73" s="39" t="s">
        <v>148</v>
      </c>
      <c r="S73" s="39" t="s">
        <v>4</v>
      </c>
      <c r="T73" s="58">
        <v>1623</v>
      </c>
      <c r="U73" s="44">
        <v>1623</v>
      </c>
      <c r="V73" s="58">
        <v>3600</v>
      </c>
      <c r="W73" s="45">
        <v>324</v>
      </c>
      <c r="X73" s="38"/>
    </row>
    <row r="74" spans="1:24" ht="51" x14ac:dyDescent="0.3">
      <c r="A74" s="39">
        <v>85</v>
      </c>
      <c r="B74" s="39" t="s">
        <v>142</v>
      </c>
      <c r="C74" s="39" t="s">
        <v>248</v>
      </c>
      <c r="D74" s="39"/>
      <c r="E74" s="39"/>
      <c r="F74" s="39" t="s">
        <v>252</v>
      </c>
      <c r="G74" s="39" t="s">
        <v>145</v>
      </c>
      <c r="H74" s="39" t="s">
        <v>295</v>
      </c>
      <c r="I74" s="39" t="s">
        <v>253</v>
      </c>
      <c r="J74" s="39" t="s">
        <v>251</v>
      </c>
      <c r="K74" s="39">
        <v>1.2</v>
      </c>
      <c r="L74" s="40">
        <v>46180</v>
      </c>
      <c r="M74" s="41">
        <v>0.58333333333333337</v>
      </c>
      <c r="N74" s="40">
        <v>46180</v>
      </c>
      <c r="O74" s="41">
        <v>0.70833333333333337</v>
      </c>
      <c r="P74" s="48">
        <v>290410.31</v>
      </c>
      <c r="Q74" s="42">
        <v>0</v>
      </c>
      <c r="R74" s="39" t="s">
        <v>148</v>
      </c>
      <c r="S74" s="39" t="s">
        <v>4</v>
      </c>
      <c r="T74" s="58">
        <v>1623</v>
      </c>
      <c r="U74" s="44">
        <v>1623</v>
      </c>
      <c r="V74" s="58">
        <v>3600</v>
      </c>
      <c r="W74" s="45">
        <v>324</v>
      </c>
      <c r="X74" s="38"/>
    </row>
    <row r="75" spans="1:24" ht="30.6" x14ac:dyDescent="0.3">
      <c r="A75" s="39">
        <v>86</v>
      </c>
      <c r="B75" s="39" t="s">
        <v>254</v>
      </c>
      <c r="C75" s="39" t="s">
        <v>255</v>
      </c>
      <c r="D75" s="49"/>
      <c r="E75" s="39"/>
      <c r="F75" s="39" t="s">
        <v>256</v>
      </c>
      <c r="G75" s="39" t="s">
        <v>59</v>
      </c>
      <c r="H75" s="39" t="s">
        <v>265</v>
      </c>
      <c r="I75" s="39" t="s">
        <v>257</v>
      </c>
      <c r="J75" s="39" t="s">
        <v>28</v>
      </c>
      <c r="K75" s="50">
        <v>0.25</v>
      </c>
      <c r="L75" s="40">
        <v>46173</v>
      </c>
      <c r="M75" s="41">
        <v>8.3333333333333329E-2</v>
      </c>
      <c r="N75" s="40">
        <v>46173</v>
      </c>
      <c r="O75" s="41">
        <v>0.20833333333333334</v>
      </c>
      <c r="P75" s="42">
        <v>5200</v>
      </c>
      <c r="Q75" s="51">
        <v>22699.16</v>
      </c>
      <c r="R75" s="39" t="s">
        <v>148</v>
      </c>
      <c r="S75" s="39" t="s">
        <v>4</v>
      </c>
      <c r="T75" s="58">
        <v>150</v>
      </c>
      <c r="U75" s="44">
        <v>309</v>
      </c>
      <c r="V75" s="58">
        <v>750</v>
      </c>
      <c r="W75" s="45">
        <v>67.5</v>
      </c>
      <c r="X75" s="38"/>
    </row>
    <row r="76" spans="1:24" ht="30.6" x14ac:dyDescent="0.3">
      <c r="A76" s="39">
        <v>87</v>
      </c>
      <c r="B76" s="39" t="s">
        <v>254</v>
      </c>
      <c r="C76" s="39" t="s">
        <v>255</v>
      </c>
      <c r="D76" s="39"/>
      <c r="E76" s="39"/>
      <c r="F76" s="39" t="s">
        <v>258</v>
      </c>
      <c r="G76" s="39" t="s">
        <v>59</v>
      </c>
      <c r="H76" s="39" t="s">
        <v>265</v>
      </c>
      <c r="I76" s="39" t="s">
        <v>259</v>
      </c>
      <c r="J76" s="39" t="s">
        <v>28</v>
      </c>
      <c r="K76" s="50">
        <v>0.16700000000000001</v>
      </c>
      <c r="L76" s="40">
        <v>46173</v>
      </c>
      <c r="M76" s="41">
        <v>8.3333333333333329E-2</v>
      </c>
      <c r="N76" s="40">
        <v>46173</v>
      </c>
      <c r="O76" s="41">
        <v>0.20833333333333334</v>
      </c>
      <c r="P76" s="42">
        <v>5100</v>
      </c>
      <c r="Q76" s="51">
        <v>22699.16</v>
      </c>
      <c r="R76" s="39" t="s">
        <v>148</v>
      </c>
      <c r="S76" s="39" t="s">
        <v>4</v>
      </c>
      <c r="T76" s="58">
        <v>150</v>
      </c>
      <c r="U76" s="44">
        <v>659</v>
      </c>
      <c r="V76" s="58">
        <v>501</v>
      </c>
      <c r="W76" s="45">
        <v>45.089999999999996</v>
      </c>
      <c r="X76" s="38"/>
    </row>
    <row r="77" spans="1:24" ht="30.6" x14ac:dyDescent="0.3">
      <c r="A77" s="39">
        <v>88</v>
      </c>
      <c r="B77" s="39" t="s">
        <v>254</v>
      </c>
      <c r="C77" s="39" t="s">
        <v>255</v>
      </c>
      <c r="D77" s="49"/>
      <c r="E77" s="39"/>
      <c r="F77" s="39" t="s">
        <v>260</v>
      </c>
      <c r="G77" s="39" t="s">
        <v>59</v>
      </c>
      <c r="H77" s="39" t="s">
        <v>265</v>
      </c>
      <c r="I77" s="39" t="s">
        <v>261</v>
      </c>
      <c r="J77" s="39" t="s">
        <v>28</v>
      </c>
      <c r="K77" s="50">
        <v>0.16700000000000001</v>
      </c>
      <c r="L77" s="40">
        <v>46173</v>
      </c>
      <c r="M77" s="41">
        <v>8.3333333333333329E-2</v>
      </c>
      <c r="N77" s="40">
        <v>46173</v>
      </c>
      <c r="O77" s="41">
        <v>0.20833333333333334</v>
      </c>
      <c r="P77" s="42">
        <v>4950</v>
      </c>
      <c r="Q77" s="51">
        <v>22699.16</v>
      </c>
      <c r="R77" s="39" t="s">
        <v>148</v>
      </c>
      <c r="S77" s="39" t="s">
        <v>4</v>
      </c>
      <c r="T77" s="58">
        <v>150</v>
      </c>
      <c r="U77" s="52">
        <v>518</v>
      </c>
      <c r="V77" s="58">
        <v>501</v>
      </c>
      <c r="W77" s="45">
        <v>45.089999999999996</v>
      </c>
      <c r="X77" s="38"/>
    </row>
    <row r="78" spans="1:24" ht="30.6" x14ac:dyDescent="0.3">
      <c r="A78" s="39">
        <v>89</v>
      </c>
      <c r="B78" s="39" t="s">
        <v>100</v>
      </c>
      <c r="C78" s="39" t="s">
        <v>262</v>
      </c>
      <c r="D78" s="39"/>
      <c r="E78" s="39" t="s">
        <v>263</v>
      </c>
      <c r="F78" s="39"/>
      <c r="G78" s="39" t="s">
        <v>45</v>
      </c>
      <c r="H78" s="39" t="s">
        <v>296</v>
      </c>
      <c r="I78" s="39" t="s">
        <v>264</v>
      </c>
      <c r="J78" s="39" t="s">
        <v>41</v>
      </c>
      <c r="K78" s="39">
        <v>3</v>
      </c>
      <c r="L78" s="40">
        <v>46179</v>
      </c>
      <c r="M78" s="41">
        <v>0.25</v>
      </c>
      <c r="N78" s="40">
        <v>46179</v>
      </c>
      <c r="O78" s="41">
        <v>0.35416666666666669</v>
      </c>
      <c r="P78" s="42">
        <v>3665.24</v>
      </c>
      <c r="Q78" s="42">
        <v>0</v>
      </c>
      <c r="R78" s="39" t="s">
        <v>112</v>
      </c>
      <c r="S78" s="47" t="s">
        <v>29</v>
      </c>
      <c r="T78" s="58">
        <v>11009</v>
      </c>
      <c r="U78" s="44">
        <v>11009</v>
      </c>
      <c r="V78" s="58">
        <v>7500.0000000000009</v>
      </c>
      <c r="W78" s="45">
        <v>675.00000000000011</v>
      </c>
      <c r="X78" s="38"/>
    </row>
    <row r="79" spans="1:24" ht="20.399999999999999" x14ac:dyDescent="0.3">
      <c r="A79" s="39">
        <v>90</v>
      </c>
      <c r="B79" s="39" t="s">
        <v>35</v>
      </c>
      <c r="C79" s="39" t="s">
        <v>266</v>
      </c>
      <c r="D79" s="39"/>
      <c r="E79" s="39"/>
      <c r="F79" s="39" t="s">
        <v>267</v>
      </c>
      <c r="G79" s="39" t="s">
        <v>38</v>
      </c>
      <c r="H79" s="39" t="s">
        <v>136</v>
      </c>
      <c r="I79" s="39" t="s">
        <v>268</v>
      </c>
      <c r="J79" s="39" t="s">
        <v>28</v>
      </c>
      <c r="K79" s="39">
        <v>0.3</v>
      </c>
      <c r="L79" s="40">
        <v>46180</v>
      </c>
      <c r="M79" s="41">
        <v>0.33333333333333331</v>
      </c>
      <c r="N79" s="40">
        <v>46180</v>
      </c>
      <c r="O79" s="41">
        <v>0.45833333333333331</v>
      </c>
      <c r="P79" s="42">
        <v>2345</v>
      </c>
      <c r="Q79" s="42">
        <v>0</v>
      </c>
      <c r="R79" s="39" t="s">
        <v>269</v>
      </c>
      <c r="S79" s="47" t="s">
        <v>4</v>
      </c>
      <c r="T79" s="58">
        <v>932</v>
      </c>
      <c r="U79" s="44">
        <v>932</v>
      </c>
      <c r="V79" s="58">
        <v>900</v>
      </c>
      <c r="W79" s="45">
        <v>81</v>
      </c>
      <c r="X79" s="53"/>
    </row>
    <row r="80" spans="1:24" ht="20.399999999999999" x14ac:dyDescent="0.3">
      <c r="A80" s="39">
        <v>91</v>
      </c>
      <c r="B80" s="39" t="s">
        <v>35</v>
      </c>
      <c r="C80" s="39" t="s">
        <v>266</v>
      </c>
      <c r="D80" s="39"/>
      <c r="E80" s="39"/>
      <c r="F80" s="39" t="s">
        <v>270</v>
      </c>
      <c r="G80" s="39" t="s">
        <v>38</v>
      </c>
      <c r="H80" s="39" t="s">
        <v>136</v>
      </c>
      <c r="I80" s="39" t="s">
        <v>271</v>
      </c>
      <c r="J80" s="39" t="s">
        <v>28</v>
      </c>
      <c r="K80" s="39">
        <v>0.4</v>
      </c>
      <c r="L80" s="40">
        <v>46180</v>
      </c>
      <c r="M80" s="41">
        <v>0.33333333333333331</v>
      </c>
      <c r="N80" s="40">
        <v>46180</v>
      </c>
      <c r="O80" s="41">
        <v>0.45833333333333331</v>
      </c>
      <c r="P80" s="42">
        <v>500</v>
      </c>
      <c r="Q80" s="42">
        <v>0</v>
      </c>
      <c r="R80" s="39" t="s">
        <v>269</v>
      </c>
      <c r="S80" s="47" t="s">
        <v>4</v>
      </c>
      <c r="T80" s="58">
        <v>356</v>
      </c>
      <c r="U80" s="44">
        <v>356</v>
      </c>
      <c r="V80" s="58">
        <v>1200</v>
      </c>
      <c r="W80" s="45">
        <v>108</v>
      </c>
      <c r="X80" s="53"/>
    </row>
  </sheetData>
  <mergeCells count="2">
    <mergeCell ref="A1:V1"/>
    <mergeCell ref="F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BASE COMPLETA</vt:lpstr>
      <vt:lpstr>TRABAJOS CNEL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 MELISSA DOYLET PARRA</dc:creator>
  <cp:lastModifiedBy>ULLOA BAMBINO PEDRO SAUL</cp:lastModifiedBy>
  <dcterms:created xsi:type="dcterms:W3CDTF">2026-05-21T15:29:53Z</dcterms:created>
  <dcterms:modified xsi:type="dcterms:W3CDTF">2026-05-28T16:19:54Z</dcterms:modified>
</cp:coreProperties>
</file>