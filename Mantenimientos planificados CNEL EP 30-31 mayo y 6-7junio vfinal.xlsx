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berto.cajas\Downloads\"/>
    </mc:Choice>
  </mc:AlternateContent>
  <bookViews>
    <workbookView xWindow="0" yWindow="0" windowWidth="19368" windowHeight="8976" activeTab="1"/>
  </bookViews>
  <sheets>
    <sheet name="Hoja2" sheetId="2" r:id="rId1"/>
    <sheet name="Hoja1" sheetId="1" r:id="rId2"/>
  </sheets>
  <definedNames>
    <definedName name="_xlnm._FilterDatabase" localSheetId="1" hidden="1">Hoja1!$B$5:$X$58</definedName>
  </definedNames>
  <calcPr calcId="152511"/>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 i="1" l="1"/>
  <c r="W20" i="1" s="1"/>
  <c r="W18" i="1"/>
  <c r="W19" i="1"/>
</calcChain>
</file>

<file path=xl/sharedStrings.xml><?xml version="1.0" encoding="utf-8"?>
<sst xmlns="http://schemas.openxmlformats.org/spreadsheetml/2006/main" count="872" uniqueCount="338">
  <si>
    <t>Empresa</t>
  </si>
  <si>
    <t>PROYECTO O DESCRIPCIÓN DE LOS TRABAJOS</t>
  </si>
  <si>
    <t>LINEA DE SUBTRANSMISIÓN</t>
  </si>
  <si>
    <t>S/E</t>
  </si>
  <si>
    <t>ALIMENTADOR</t>
  </si>
  <si>
    <t>PROVINCIA</t>
  </si>
  <si>
    <t>CANTON</t>
  </si>
  <si>
    <t>CODIGO GIS</t>
  </si>
  <si>
    <t>Desconexiones Programadas</t>
  </si>
  <si>
    <t>MW (Desconectados)</t>
  </si>
  <si>
    <t>Fecha de Inicio</t>
  </si>
  <si>
    <t>Hora inicio</t>
  </si>
  <si>
    <t>Fecha de Fin</t>
  </si>
  <si>
    <t>Hora fin</t>
  </si>
  <si>
    <t>$ Valoración de los trabajos (materiales + Mano de obra)</t>
  </si>
  <si>
    <t>Presupuesto requerido $</t>
  </si>
  <si>
    <t>Justificación del horario de ejecución</t>
  </si>
  <si>
    <t>ETAPA FUNCIONAL</t>
  </si>
  <si>
    <t>Clientes
Afectados</t>
  </si>
  <si>
    <t>Clientes Totales</t>
  </si>
  <si>
    <t>Energía kW-h (por desconexión)}</t>
  </si>
  <si>
    <t>USD energia (por desconexión)</t>
  </si>
  <si>
    <t>CNEL BOLIVAR</t>
  </si>
  <si>
    <t>CAMBIO DE TRANSFORMADOR PADMOUNTED DE SERVICIOS AUXILIARES / PRUEBAS ELÉCTRICAS DEL TRANSFORMADOR DE POTENCIA</t>
  </si>
  <si>
    <t>03_03_ECHEANDIA</t>
  </si>
  <si>
    <t>BOLIVAR</t>
  </si>
  <si>
    <t>ECHEANDIA, LAS NAVES</t>
  </si>
  <si>
    <t>03EC03</t>
  </si>
  <si>
    <t>Trabajos Preventivos</t>
  </si>
  <si>
    <t>SUBESTACIÓN</t>
  </si>
  <si>
    <t>CONSTRUCCION DE RED DE MEDIO VOLTAJE Y MONTAJE DE TRANSFORMADOR</t>
  </si>
  <si>
    <t>03_03_Echeandia 1</t>
  </si>
  <si>
    <t>ECHEANDIA</t>
  </si>
  <si>
    <t>03EC030T13</t>
  </si>
  <si>
    <t>Ingreso nuevas cargas</t>
  </si>
  <si>
    <t>CNEL EL ORO</t>
  </si>
  <si>
    <t>CAMBIO DE BARRAS 15KV EN TABLERO DE DISTRIBUCIÓN SUBTERRÁNEO</t>
  </si>
  <si>
    <t>EL SOL</t>
  </si>
  <si>
    <t>EL ORO</t>
  </si>
  <si>
    <t>MACHALA</t>
  </si>
  <si>
    <t>07MA040T15</t>
  </si>
  <si>
    <t>Trabajos Correctivos</t>
  </si>
  <si>
    <t>Zona urbana- residencial</t>
  </si>
  <si>
    <t>CONEXIÓN DE EQUIPOS PARA NUEVO ALIMENTADOR DE MEDIA TENSIÓN</t>
  </si>
  <si>
    <t>BALAO</t>
  </si>
  <si>
    <t>GUAYAS</t>
  </si>
  <si>
    <t>07BL13</t>
  </si>
  <si>
    <t>Horario de menor impacto en la demanda</t>
  </si>
  <si>
    <t>MNTTO EN ALIMENTADOR PRIMARIO (CAMBIO DE POSTES Y ESTRUCTURAS, LIMPIEZA DE VEGETACIÓN)</t>
  </si>
  <si>
    <t>CETEORO</t>
  </si>
  <si>
    <t>07PI060T14</t>
  </si>
  <si>
    <t>MNTTO EN ALIMENTADOR PRIMARIO (MANTENIMIENTO A GABINETES DE DISTRIBUCIÓN) - CAMBIO DE SECCIONADORES EN TRANSICIÓN</t>
  </si>
  <si>
    <t>ARÍZAGA</t>
  </si>
  <si>
    <t>07MC080T13</t>
  </si>
  <si>
    <t>MNTTO EN ALIMENTADOR PRIMARIO (MANTENIMIENTO A GABINETES DE DISTRIBUCIÓN) - INSTALACIÓN DE CUCHILLAS EN TRANSICIÓN</t>
  </si>
  <si>
    <t>FYBECA</t>
  </si>
  <si>
    <t>CNEL GUAYAS LOS RIOS</t>
  </si>
  <si>
    <t>CONEXIÓN DE ACOMETIDAS DE 69 KV PARA ENERGIZACIÓN EN VACÍO DEL TRANSFORMADOR EN PEDRO CARBO DE NUEVO TRANSFORMADOR DE POTENCIA, PARA LIBERAR SUBESTACIÓN MÓVIL</t>
  </si>
  <si>
    <t>PEDRO CARBO</t>
  </si>
  <si>
    <t>Guayas</t>
  </si>
  <si>
    <t>Pedro Carbo</t>
  </si>
  <si>
    <t>09PC09</t>
  </si>
  <si>
    <t>MENOR IMPACTO EN MADRUGADA</t>
  </si>
  <si>
    <t>- CAMBIO DE TOPOLOGÍA LT1, LT2
 - INGRESO A BAHÍA LT1 CON NUEVA LÍNEA
 - TENDIDO DE GUARDA HACIA S/E CATALUÑA
 - DESMONTAJE DE SECCIONADOR EXISTENTE LT1
 - READECUACIÓN PARA CAMBIO EN LA CONEXIÓN A S/E MÓVIL CELEC
 - SECCIONAMENTO DE LÍNEA EXISTENTE DAULE-JB AGUIRRE</t>
  </si>
  <si>
    <t>DESCONEXIÓN DE LAS LÍNEAS LT1, LT2, LT3, LT4, LT5, MOVIL DE LA SUBESTACIÓN DOS CERRITOS SNT.</t>
  </si>
  <si>
    <t>Daule, Salitre, Palestina, Balzar, Colimes, Santa Lucía, Samborondón</t>
  </si>
  <si>
    <t>LST</t>
  </si>
  <si>
    <t>Ingreso Nuevas Cargas</t>
  </si>
  <si>
    <t>INTERCONEXION DE LA NUEVA LINEA DE SUBTRANSMISION BUENA FE PRONACA</t>
  </si>
  <si>
    <t>BUENA FE - PRONACA</t>
  </si>
  <si>
    <t>BUENA FE</t>
  </si>
  <si>
    <t>Los Ríos</t>
  </si>
  <si>
    <t>Buena Fe</t>
  </si>
  <si>
    <t>PARA REALIZAR LOS TRABAJOS SE REQUIERE LA LUZ DEL DÍA DEBIDO A QUE NO SE CUENTA CON SUFICIENTE ILUMINACION PARA REALIZAR LOS TRABAJOS EN REDES DE ALTA TENSIÓN</t>
  </si>
  <si>
    <t>'- CAMBIO DE TOPOLOGÍA LT5
- COMPLETAR INGRESO A BAHÍA LT1 CON NUEVA LÍNEA
- PUESTA EN OPERACIÓN NUEVO SECCIONADOR LT1
- SECCIONAMENTO DE LÍNEA EXISTENTE DAULE-JB AGUIRRE
- ENERGIZACIÓN DE NUEVA LT1 Y TOMA DE CARGA</t>
  </si>
  <si>
    <t>DESCONEXIÓN DE LA LÍNEA LT5 DE LA SUBESTACIÓN DOS CERRITOS SNT.</t>
  </si>
  <si>
    <t>Daule, Salitre, Palestina, Balzar, Colimes, Santa Lucía</t>
  </si>
  <si>
    <t>SECTOR ARROCERO, DAULE SANTA LUCIA PALESTINA</t>
  </si>
  <si>
    <t>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t>
  </si>
  <si>
    <t>EL RECREO</t>
  </si>
  <si>
    <t>Durán</t>
  </si>
  <si>
    <t>09ER21</t>
  </si>
  <si>
    <t>CNEL LOS RIOS</t>
  </si>
  <si>
    <t>CAMBIO DE CONDUCTOR AISLADO SOTERRADO EN LAS SALIDAS DE LOS ALIMENTADORES VINCES CENTRO, VINCES SUR Y ANTONIO SOTOMAYOR, POR DESGASTE EN EL AISLAMIENTO DE LOS CONDUCTORES.</t>
  </si>
  <si>
    <t>VINCES</t>
  </si>
  <si>
    <t>LOS RIOS</t>
  </si>
  <si>
    <t>VINCES, BABA</t>
  </si>
  <si>
    <t>10VI08</t>
  </si>
  <si>
    <t>SE PLANTEA EL HORARIO MOSTRADO DEBIDO AL TOQUE DE QUEDA QUE CULMINA 05H00 Y LA SE VINCES ESTA A 45 MINUTOS DE DISTANCIA DE DONDE SALE EL PERSONAL Y EL TRASLADO HACIA LA SE EN HORAS DE LA MADRUGADA ES ALTAMENTE PELIGROSO</t>
  </si>
  <si>
    <t>CORRECCIÓN DE PUNTOS CALIENTES EN BUSHINGS DEL TRANSFORMADOR DE POTENCIA Y EN SECCIONAMIENTOS A NIVEL DE 13,8KV</t>
  </si>
  <si>
    <t>CEDEGE</t>
  </si>
  <si>
    <t>BABAHOYO, MONTALVO</t>
  </si>
  <si>
    <t>10CE03</t>
  </si>
  <si>
    <t>SE PLANTEA EL HORARIO MOSTRADO DEBIDO AL TOQUE DE QUEDA QUE CULMINA 05H00 Y LA SE CEDEGE ESTA A 25 MINUTOS DE DISTANCIA DE DONDE SALE EL PERSONAL Y EL TRASLADO HACIA LA SE EN HORAS DE LA MADRUGADA ES ALTAMENTE PELIGROSO</t>
  </si>
  <si>
    <t>CNEL MANABÍ</t>
  </si>
  <si>
    <t>Cambio de aisladores, desbroce, reubicacion de postes</t>
  </si>
  <si>
    <t>ROCAFUERTE - CRUCITA</t>
  </si>
  <si>
    <t>MANABI</t>
  </si>
  <si>
    <t>PORTOVIEJO</t>
  </si>
  <si>
    <t>Trabajos seran realizados en zona montañosa y de dificil acceso, por esta razon se requiere tener visibilidad en lostrabajos e ingreso a los puntos</t>
  </si>
  <si>
    <t>CNEL MILAGRO</t>
  </si>
  <si>
    <t>ANOMALÍAS TÉRMICAS EN EL RECONECTADOR DE CABECERA VILLANUEVA 2, DISYUNTOR LLEGADA PUERTO INCA, SALIDA BALAO 4, DESBROCE VEGETACIÓN A NIVEL DE DISTRIBUCIÓN 13,8kV</t>
  </si>
  <si>
    <t>NARANJAL</t>
  </si>
  <si>
    <t>12NA09</t>
  </si>
  <si>
    <t>SECTORES RURALES ALEJADOS DE LA CIUDAD,ZONA PELIGROSA</t>
  </si>
  <si>
    <t>ANOMALÍAS TÉRMICAS EN ENTRADA AL SECCIONADOR DE BARRA FASE C Y EN SALIDA DEL SECCIONADOR DE BARRA FASE A</t>
  </si>
  <si>
    <t>MILAGRO SUR</t>
  </si>
  <si>
    <t>MILAGRO</t>
  </si>
  <si>
    <t>12MS13</t>
  </si>
  <si>
    <t>ANOMALÍAS TÉRMICAS EN RECONECTADOR DE BARRAS, CT´S DE BARRAS, CAMBIO DE CONFIGURACIÓN DE ESTRUCTURAS EN POSTES ALEJADOS DE LA CARRETERA</t>
  </si>
  <si>
    <t>CHOBO</t>
  </si>
  <si>
    <t>12CH16</t>
  </si>
  <si>
    <t>SECTORES RURALES ALEJADOS DE LA CIUDAD, ZONA PELIGROSA</t>
  </si>
  <si>
    <t>CNEL SUCUMBÍOS</t>
  </si>
  <si>
    <t>CAMBIO DE CADENA DE AISLADORES EN FASE MEDIA, ESTRUCTURA N.º 102: POSTE DE HORMIGÓN EN SUSPENSIÓN</t>
  </si>
  <si>
    <t>JIVINO - SACHA</t>
  </si>
  <si>
    <t>Orellana</t>
  </si>
  <si>
    <t>Joya de los Sachas</t>
  </si>
  <si>
    <t>TRANSFERENCIA DE CARGA, AL CULMINAR LOS TRABAJOS SE DESCONECTA TODA LA CARGA POR 5 MIN APROXIMADAMENTE</t>
  </si>
  <si>
    <t>CAMBIO DE POSTE DE HORMIGÓN EN MAL ESTADO DE 12 METROS</t>
  </si>
  <si>
    <t>VIA JIVINO</t>
  </si>
  <si>
    <t>Sucumbíos</t>
  </si>
  <si>
    <t>Lago Agrio</t>
  </si>
  <si>
    <t>20LG010T14</t>
  </si>
  <si>
    <t>CORRECCIÓN DE PUNTO CALIENTE EN BARRAS DE 69 KV</t>
  </si>
  <si>
    <t>03_04_COCHABAMBA</t>
  </si>
  <si>
    <t>SAN MIGUEL, CHILLANES</t>
  </si>
  <si>
    <t>03CO04</t>
  </si>
  <si>
    <t>ATAHUALPA</t>
  </si>
  <si>
    <t>07PO100T25</t>
  </si>
  <si>
    <t>Zona alta de la provincia, en la madrugada se presentan condiciones climáticas adversas, se considera el tiempo de traslada hacia los sitios de trabajo</t>
  </si>
  <si>
    <t>CORDÓN FRONTERIZO</t>
  </si>
  <si>
    <t>ARENILLAS</t>
  </si>
  <si>
    <t>07AR090T13</t>
  </si>
  <si>
    <t>En la madrugada se presentan condiciones climáticas adversas, se considera el tiempo de traslada hacia los sitios de trabajo</t>
  </si>
  <si>
    <t>BARBONES TENDALES</t>
  </si>
  <si>
    <t>EL GUABO</t>
  </si>
  <si>
    <t>07BA020T11</t>
  </si>
  <si>
    <t>Sector con alto nivel de inseguridad, se considera el tiempo de traslada hacia los sitios de trabajo</t>
  </si>
  <si>
    <t>MNTTO EN ALIMENTADOR PRIMARIO (RECONFIGURACIÓN DE LINEA DE MV, CAMBIO DE ESTRUCTURAS)</t>
  </si>
  <si>
    <t>ZARUMA</t>
  </si>
  <si>
    <t>07PO100T11</t>
  </si>
  <si>
    <t>CNEL ESMERALDAS</t>
  </si>
  <si>
    <t>TRABAJO CONTRTADO MANTENIMIENTO DE TRANSFORMADOR DE POTENCIA EN FRÍO (pruebas electricas, ajuste de terminales, pernos conexiones, pintura etc.) Subestación Viche</t>
  </si>
  <si>
    <t>VICHE</t>
  </si>
  <si>
    <t>ESMERALDAS</t>
  </si>
  <si>
    <t>QUININDE</t>
  </si>
  <si>
    <t>08VI15</t>
  </si>
  <si>
    <t>HORARIO DE MENOR IMPACTO HACIA LOS USUARIOS POR DESLASTRE DE CARGA EN DEMANDA MINIMA</t>
  </si>
  <si>
    <t>TRABAJOS DE MANTENIMIENTO PROGRAMADO LST PRADERA - ATACAMES, TRABAJOS DESBROCE DE VEGETACION Y TALA DE ARBOLES CERCANOS A LA RED</t>
  </si>
  <si>
    <t>PRADERA - ATACAMES</t>
  </si>
  <si>
    <t>ATACAMES</t>
  </si>
  <si>
    <t>TOMA DE CARGA DEL TRANSFORMADOR DE NUEVO TRANSFORMADOR DE POTENCIA EN PEDRO CARBO, PARA LIBERAR SUBESTACIÓN MÓVIL</t>
  </si>
  <si>
    <t>DESCONEXIÓN CNEL 2, CNEL 3, CNEL 4 PARA CAMBIO DE TOPOLOGIA Y REPOTENCIACIÓN DE LÍNEA DE SUBTRANSMIÓN HOSPITAL DURÁN - DURÁN SUR</t>
  </si>
  <si>
    <t>CNEL 2, CNEL 3, CNEL 4</t>
  </si>
  <si>
    <t>CAMBIO DE SECCIONADORES TIPO TANDEM DEL ALIMENTADOR PROGRESO EN MAL ESTADO, CAMBIO DE SECCIONADOR DEL TRANSFORAMDOR DE SERVICIOS AUXILIARES, CORRECCIÓN DE FUGA DE ACEITE EN TRANSFORMADOR DE POTENCIA, LLENADO DE GAS SF6 EN INTERRUPTOR PRINCIPAL DEL TRANSFORMADOR DE POTENCIA</t>
  </si>
  <si>
    <t>BABA</t>
  </si>
  <si>
    <t>10BA05</t>
  </si>
  <si>
    <t>SE PLANTEA EL HORARIO MOSTRADO DEBIDO AL TOQUE DE QUEDA QUE CULMINA 05H00 Y LA SE BABA ESTA A 30 MINUTOS DE DISTANCIA DE DONDE SALE EL PERSONAL Y EL TRASLADO HACIA LA SE EN HORAS DE LA MADRUGADA ES ALTAMENTE PELIGROSO</t>
  </si>
  <si>
    <t>Cambio de poste, aisladores y desbroce</t>
  </si>
  <si>
    <t>MANTA 4</t>
  </si>
  <si>
    <t>No 42</t>
  </si>
  <si>
    <t>MANTA</t>
  </si>
  <si>
    <t>11M4150T11</t>
  </si>
  <si>
    <t>Horario de menora afectación</t>
  </si>
  <si>
    <t>ANOMALÍAS TÉRMICAS EN CT DE BARRA,INTERRUPTOR Y SECCIONADOR DE BARRA 13,8kV, MONTAJE DE NUEVOS CT´S PARA MEDICIÓN Y PROTECCIÓN, REAJUSTE EN RECONECTADORES DE SALIDAS</t>
  </si>
  <si>
    <t>CENTRAL DIESEL</t>
  </si>
  <si>
    <t>12DI14</t>
  </si>
  <si>
    <t>ANOMALÍAS TÉRMICAS EN SECCIONADORES DE ENTRADA ALIMENTADORES,  CAMBIO DE HERRAJES EN EQUIPOS DE SUBESTACIÓN, CAMBIO DE SECCIONADORES QUE PRESENTAN PUNTOS CALIENTES.</t>
  </si>
  <si>
    <t>MONTERO</t>
  </si>
  <si>
    <t>YAGUACHI</t>
  </si>
  <si>
    <t>12MO08</t>
  </si>
  <si>
    <t>MANTENIMIENTO PREVENTIVO DE LOS CUADROS DE 13.8KV Y 69KV EN LA S/E PAYAMINO</t>
  </si>
  <si>
    <t>PAYAMINO</t>
  </si>
  <si>
    <t>Francisco de Orellana</t>
  </si>
  <si>
    <t>20PY02</t>
  </si>
  <si>
    <t>MANTENIMIENTO AL TRANSFORMADOR DE POTENCIA, BARRAJE A 13,8KV Y CAMBIO DE INTERRUPTOR PRINCIPAL DE 13,8KV Y SECCIONAMIENTOS DE LOS ALIMENTADORES</t>
  </si>
  <si>
    <t>CENTRO INDUSTRIAL</t>
  </si>
  <si>
    <t>10CI01</t>
  </si>
  <si>
    <t>SE PLANTEA EL HORARIO MOSTRADO DEBIDO AL TOQUE DE QUEDA QUE CULMINA 05H00</t>
  </si>
  <si>
    <t>Puesta en operación del T2 en subestacion Lodana, trabajos en subtransmision de cambio de cadenas de aisladores y correccion de puntos calientes</t>
  </si>
  <si>
    <t>PORTOVIEJO CELEC L6 - LODANA</t>
  </si>
  <si>
    <t>LODANA; CAZA LAGARTO; BELLAVISTA</t>
  </si>
  <si>
    <t>BABAHOYO, JUJAN</t>
  </si>
  <si>
    <t>REEMPLAZO DE SECCIONADORES TRIPOLARES DE POSICIÓN DE BARRA, BARRA DE TRANSFERENCIA Y ACOPLE DE POSICIÓN PASCULAES MANGLERO</t>
  </si>
  <si>
    <t>MANGLERO</t>
  </si>
  <si>
    <t>Samborondón</t>
  </si>
  <si>
    <t>POR DESCONEXIÓN DE SUBESTACIÓN PASCUALES DE TRANSELECTRIC</t>
  </si>
  <si>
    <t>APLOME DE POSTES EN LA LLEGADA A LA SUBESTACION DAULE SUR - POSTE DONDE SE TIENE UBICADO EL SECCIONAMIENTO DE INTERCONEXION ENTRE LST DAULE Y TAP BANIFE</t>
  </si>
  <si>
    <t>TAP KUBIEC Y TAP BANIFE</t>
  </si>
  <si>
    <t>Daule</t>
  </si>
  <si>
    <t xml:space="preserve">CAMBIO DE POSTES EN MAL ESTADO </t>
  </si>
  <si>
    <t>Isidro Ayora</t>
  </si>
  <si>
    <t>CAMBIO DE ESTRUCTURAS DE MEDIA TENSIÓN</t>
  </si>
  <si>
    <t>03_03_Camaron</t>
  </si>
  <si>
    <t>03EC030T14</t>
  </si>
  <si>
    <t>Trabajos en área rural, se consideró horario de menor impacto</t>
  </si>
  <si>
    <t>03_02_Salinas</t>
  </si>
  <si>
    <t>03GN020T12</t>
  </si>
  <si>
    <t>03_02_Simiatug</t>
  </si>
  <si>
    <t>03GN020T15</t>
  </si>
  <si>
    <t>DIVISIÓN DE CIRCUITOS EN MEDIA TENSIÓN</t>
  </si>
  <si>
    <t>03_06_Chillanes</t>
  </si>
  <si>
    <t>03SI060T11</t>
  </si>
  <si>
    <t>INCORPORACION DE RED DE MEDIA TENSIÓN</t>
  </si>
  <si>
    <t>03_06_San Pablo</t>
  </si>
  <si>
    <t>03SI060T12</t>
  </si>
  <si>
    <t>MONTAJE DE TRANSFORMADOR TRIFASICO Y TENDIDO DE RED PARA CENTRO DE RAYOS X</t>
  </si>
  <si>
    <t>03_02_Guanujo</t>
  </si>
  <si>
    <t>03GN020T13</t>
  </si>
  <si>
    <t>ALIMENTADOR CATARAMA, DERIVACIÓN MONOFÁSICA HACIA SECTOR LOS SAUCES, CAMBIO Y REUBICACIÓN DE POSTES EN RED DE MEDIA Y BAJA TENSIÓN, MIGRACIÓN DE RED DESNUDA A TIPO PRENSAMBLADA EN BAJA TENSIÓN, CAMBIO DE AISLAMIENTO</t>
  </si>
  <si>
    <t>CATARAMA</t>
  </si>
  <si>
    <t>10PU070T12</t>
  </si>
  <si>
    <t>SECTOR DE DIFICIL ACCESO, ZONA PELIGROSA.</t>
  </si>
  <si>
    <t>ALIMENTADOR TRIFASICO PUEBLOVIEJO CAMBIO DE ESTRUCTURAS Y AISLAMIENTO DESDE ESTERO HONDO HACIA PUERTO PECHICHE,</t>
  </si>
  <si>
    <t>PUEBLOVIEJO</t>
  </si>
  <si>
    <t>10PU070T11</t>
  </si>
  <si>
    <t>CAMBIO DE AISLADORES,ESTRUCTURAS Y POSTES</t>
  </si>
  <si>
    <t>PUEBLONUEVO</t>
  </si>
  <si>
    <t>10CI010T13</t>
  </si>
  <si>
    <t>TRABAJO EN SECTOR RURAL ZONA PELIGROSA</t>
  </si>
  <si>
    <t>CAMBIO DE BAJANTES DE PREEMSAMBLADO E INSTALACION DE PUESTA TIERRA</t>
  </si>
  <si>
    <t>VENTANAS CENTRO</t>
  </si>
  <si>
    <t>10VE090T12</t>
  </si>
  <si>
    <t>EL EQUIPO A INTERVENIR ESTA EN SU DEMANDA BAJA</t>
  </si>
  <si>
    <t>VENTANAS SUR</t>
  </si>
  <si>
    <t>10VE090T11</t>
  </si>
  <si>
    <t>CAMBIO DE ESTRUCTURAS Y AISLAMIENTO EN ALIM. ZAPOTAL</t>
  </si>
  <si>
    <t>ZAPOTAL</t>
  </si>
  <si>
    <t>10ER100T12</t>
  </si>
  <si>
    <t>DIA Y HORARIO DE BAJA DEMANDA SEGÚN EL HISTORICO DE CARGABILIDAD Y BUEN HORARIO PARA TRANFERIR CARGA CON ALIM. LECHUGAL</t>
  </si>
  <si>
    <t>CAMBIO DE RED CONVENCIONAL A RED PREENSAMBLADA EN CIRCUITO DE RED DE BAJA TENSION, QUINSALOMA, AV. 3 DE MAYO Y CALLE SIMON BOLIVAR</t>
  </si>
  <si>
    <t>QUINSALOMA</t>
  </si>
  <si>
    <t>10ER100T13</t>
  </si>
  <si>
    <t>MENOS DEMANDA EN EL HORARIO PLANIFICADO (DESCONEXION DE UN SOLO TRANSFORMADOR)</t>
  </si>
  <si>
    <t>INSTALACION DE ESTRIBO, PUESTA TIERRA Y CAMBIO DE BAJANTES DE PREEMSAMBLADO POR ESTAR EN MAL ESTADO</t>
  </si>
  <si>
    <t>INSTALACION DE ESTRIBO, PUESTA TIERRA Y CAMBIO DE BAJANTES DE PREEMSAMBLADO.</t>
  </si>
  <si>
    <t>INSTALACION DE PUESTA TIERRA</t>
  </si>
  <si>
    <t>INSTALACION DE PUESTA TIERRA Y CAMBIO DE BAJANTES DE COBRE POR MAL ESTADO</t>
  </si>
  <si>
    <t>INSTALACION DE PUESTA TIERRA Y SECCIONADOR</t>
  </si>
  <si>
    <t>INSTALACION DE SECCIONADOR, ESTRIBO, PUESTA TIERRA Y CAMBIO DE BAJANTES DE COBRE POR MAL ESTADO</t>
  </si>
  <si>
    <t>INSTALACION DE SECCIONADOR, PUESTA TIERRA Y CAMBIO DE BAJANTES DE PREEMSAMBLADO POR ESTAR EN MAL ESTADO</t>
  </si>
  <si>
    <t>INSTALACION DE SECCIONADOR, PUESTA TIERRA Y CAMBIO DE BAJANTES DE PREEMSAMBLADO.</t>
  </si>
  <si>
    <t>SE DEBE REALIZAR EL CAMBIO DE LA BAJANTES DE COBRE POR MAL ESTADO</t>
  </si>
  <si>
    <t>CORRECCION DE PUNTO CALIENTE Y CAMBIO DE SECCIONADOR BY PASS, 13.8 KV SE T3 PORTOVIEJO 1</t>
  </si>
  <si>
    <t>PORTOVIEJO 1 - T3</t>
  </si>
  <si>
    <t>No 05; 08; 10</t>
  </si>
  <si>
    <t>11P109</t>
  </si>
  <si>
    <t>DESCONEXION PROGRAMADA PARA REALIZAR TRABAJOS DE CONSTRUCCION, ESTRUCTURADO DE POSTES, TENDIDO Y AMARRADO DE CONDUCTOR 4/0 AWG, TRABAJOS PLANIFICADOS SERAN EJECUTADOS CON LA FINALIDAD DE GARANTIZAR LA CALIDAD DEL SERVICIO</t>
  </si>
  <si>
    <t>CHAMANGA</t>
  </si>
  <si>
    <t>08SA120T12</t>
  </si>
  <si>
    <t>Extensiones de red</t>
  </si>
  <si>
    <t>MOMPICHE</t>
  </si>
  <si>
    <t>08SA120T11</t>
  </si>
  <si>
    <t>CNEL GUAYAQUIL</t>
  </si>
  <si>
    <t>Mantenimiento a cuarto eléctrico</t>
  </si>
  <si>
    <t>04_06_Centro Park</t>
  </si>
  <si>
    <t>04AY060T14</t>
  </si>
  <si>
    <t>04_09_Malecon</t>
  </si>
  <si>
    <t>04BO090T12</t>
  </si>
  <si>
    <t>04_09_Rocafuerte</t>
  </si>
  <si>
    <t>04BO090T24</t>
  </si>
  <si>
    <t>ANOMALÍAS TÉRMICAS EN ENTRADA Y SALIDA DEL SECCIONADOR DEL ALIMENTADOR LORENZO DE GARAICOA, SALIDA MATA DE CACAO</t>
  </si>
  <si>
    <t>LORENZO DE GARAICOA</t>
  </si>
  <si>
    <t>12LG02</t>
  </si>
  <si>
    <t>Guayaquil</t>
  </si>
  <si>
    <t>CONEXIÓN DE BANCO DE CAPACITORES</t>
  </si>
  <si>
    <t>RIO BONITO</t>
  </si>
  <si>
    <t>07PA120T13</t>
  </si>
  <si>
    <t>Zona rural</t>
  </si>
  <si>
    <t>SABANA DE PAGUA</t>
  </si>
  <si>
    <t>07PA120T22</t>
  </si>
  <si>
    <t>MANTENIMIENTO PROGRAMADO POR EL TRANSMISOR EN LA L/T MACHALA - LA AVANZADA 230 kV C1</t>
  </si>
  <si>
    <t>LA AVANZADA</t>
  </si>
  <si>
    <t>SANTA ROSA</t>
  </si>
  <si>
    <t>07AV05</t>
  </si>
  <si>
    <t>Horario definido por el Transmisior y aceptado por el Cenace</t>
  </si>
  <si>
    <t>07SR07</t>
  </si>
  <si>
    <t>ARENILLAS
LAS LAJAS</t>
  </si>
  <si>
    <t>07AR09</t>
  </si>
  <si>
    <t>HUAQUILLAS</t>
  </si>
  <si>
    <t>07HU11</t>
  </si>
  <si>
    <t>SARACAY</t>
  </si>
  <si>
    <t>BALSAS
MARCABELÍ</t>
  </si>
  <si>
    <t>07SA14</t>
  </si>
  <si>
    <t>PORTOVELO</t>
  </si>
  <si>
    <t>PIÑAS
ATAHUALPA
ZARUMA
PORTOVELO</t>
  </si>
  <si>
    <t>07PO10</t>
  </si>
  <si>
    <t>Con desconexión de Transelectric</t>
  </si>
  <si>
    <t>Echeandia</t>
  </si>
  <si>
    <t>Bolívar</t>
  </si>
  <si>
    <t>Guaranda</t>
  </si>
  <si>
    <t>Simiatug</t>
  </si>
  <si>
    <t>Chillanes</t>
  </si>
  <si>
    <t>San Miguel</t>
  </si>
  <si>
    <t>MUISNE</t>
  </si>
  <si>
    <t>Simón Bolivar</t>
  </si>
  <si>
    <t>VENTANAS</t>
  </si>
  <si>
    <t>URDANETA</t>
  </si>
  <si>
    <t>CAMBIO DE ESTRUPTURAS Y CORRECCION DE ANOMALIAS TERMICAS</t>
  </si>
  <si>
    <t>MOCACHE</t>
  </si>
  <si>
    <t>09MC420T11</t>
  </si>
  <si>
    <t>CONSTRUCCION DE RED DE MEDIA TENSION SEGÚN CONTRATO CNEL-GLR-AJ-2025-022 “GLR REPOTENCIACIÓN DEL
 ALIMENTADOR VALENCIA ETAPA 1 TRAMO LA ESPERANZA HASTA EL SECCIONAMIENTO MARÍA
 FERNANDA, VÍA AL VERGEL GD”</t>
  </si>
  <si>
    <t>VALENCIA</t>
  </si>
  <si>
    <t>09VA140T13</t>
  </si>
  <si>
    <t>CORRECCION DE ANOMALIAS TERMICAS EN LA SUBESTACION EL ROSARIO</t>
  </si>
  <si>
    <t>ROSARIO</t>
  </si>
  <si>
    <t>09ER37</t>
  </si>
  <si>
    <t>CORRECCION DE ANOMALIAS TERMICAS EN LA SUBESTACION MOCACHE</t>
  </si>
  <si>
    <t>09MC42</t>
  </si>
  <si>
    <t>PARA REALIZAR LOS TRABAJOS SE REQUIERE LA LUZ DEL DÍA DEBIDO A QUE NO SE CUENTA CON SUFICIENTE ILUMINACION PARA REALIZAR LOS TRABAJOS Y LA PELIGROSIDAD DE LA ZONA</t>
  </si>
  <si>
    <t>CORRECCION DE ANOMALIAS TERMICAS EN LA SUBESTACION QUEVEDO SUR</t>
  </si>
  <si>
    <t>QUEVEDO SUR</t>
  </si>
  <si>
    <t>09QS10</t>
  </si>
  <si>
    <t>CORRECCION DE ANOMALIAS TERMICAS EN LA SUBESTACION VALENCIA</t>
  </si>
  <si>
    <t>09VA14</t>
  </si>
  <si>
    <t>PARA REALIZAR LOS TRABAJOS SE REQUIERE LA LUZ DEL DÍA DEBIDO A LA PELIGROSIDAD DE LA ZONA</t>
  </si>
  <si>
    <t>REEMPLAZO DE SECCIONADORES DE 69 KV EN POSICIÓN MANGLERO DE SUBESTACIÓN PASCUALES CELEC EP</t>
  </si>
  <si>
    <t>LST PASCUALES MANGLERO</t>
  </si>
  <si>
    <t>TRABAJOS PARA APROVECHAR DESCONEXIÓN DE SE PASCUALES CELEC EP</t>
  </si>
  <si>
    <t>MANTENIMIENTOS PROGRAMADOS CNEL EP - PLAN INVERNAL</t>
  </si>
  <si>
    <t>30 y 31 de mayo</t>
  </si>
  <si>
    <t>6 y 7 de junio</t>
  </si>
  <si>
    <t>menores a 2MW</t>
  </si>
  <si>
    <t xml:space="preserve">Nro. </t>
  </si>
  <si>
    <t>Etiquetas de fila</t>
  </si>
  <si>
    <t>Total general</t>
  </si>
  <si>
    <t>Cuenta de PROYECTO O DESCRIPCIÓN DE LOS TRABAJOS</t>
  </si>
  <si>
    <t>Suma de $ Valoración de los trabajos (materiales + Mano de obra)</t>
  </si>
  <si>
    <t>Suma de Clientes</t>
  </si>
  <si>
    <t>Suma de USD energia (por desconexión)</t>
  </si>
  <si>
    <t>Cantidad</t>
  </si>
  <si>
    <t>Valor $</t>
  </si>
  <si>
    <t>Clientes afectados</t>
  </si>
  <si>
    <t>Suma de Energía kW-h (por desconexión)}</t>
  </si>
  <si>
    <t>Unidad de Negocio</t>
  </si>
  <si>
    <t>$ por ENS</t>
  </si>
  <si>
    <t xml:space="preserve">ENS kW-h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</si>
</sst>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quot;* #,##0.00_ ;_ &quot;$&quot;* \-#,##0.00_ ;_ &quot;$&quot;* &quot;-&quot;??_ ;_ @_ "/>
    <numFmt numFmtId="43" formatCode="_ * #,##0.00_ ;_ * \-#,##0.00_ ;_ * &quot;-&quot;??_ ;_ @_ "/>
    <numFmt numFmtId="164" formatCode="[$-409]d\-mmm\-yy"/>
    <numFmt numFmtId="165" formatCode="_ [$$-300A]* #,##0.00_ ;_ [$$-300A]* \-#,##0.00_ ;_ [$$-300A]* &quot;-&quot;??_ ;_ @_ "/>
    <numFmt numFmtId="167" formatCode="_ * #,##0_ ;_ * \-#,##0_ ;_ * &quot;-&quot;??_ ;_ @_ "/>
  </numFmts>
  <fonts count="12" x14ac:knownFonts="1">
    <font>
      <sz val="11"/>
      <color theme="1"/>
      <name val="Calibri"/>
      <family val="2"/>
      <scheme val="minor"/>
    </font>
    <font>
      <b/>
      <sz val="8"/>
      <color rgb="FFFFFFFF"/>
      <name val="Calibri"/>
      <family val="2"/>
    </font>
    <font>
      <sz val="8"/>
      <color rgb="FF000000"/>
      <name val="Calibri"/>
      <family val="2"/>
      <scheme val="minor"/>
    </font>
    <font>
      <sz val="8"/>
      <color rgb="FF000000"/>
      <name val="Calibri"/>
      <family val="2"/>
    </font>
    <font>
      <sz val="8"/>
      <color theme="1"/>
      <name val="Arial"/>
      <family val="2"/>
    </font>
    <font>
      <sz val="8"/>
      <color rgb="FF000000"/>
      <name val="Arial"/>
      <family val="2"/>
    </font>
    <font>
      <sz val="8"/>
      <color theme="1"/>
      <name val="Calibri"/>
      <family val="2"/>
    </font>
    <font>
      <sz val="8"/>
      <color theme="1"/>
      <name val="Calibri"/>
      <family val="2"/>
      <scheme val="minor"/>
    </font>
    <font>
      <b/>
      <sz val="8"/>
      <color rgb="FF000000"/>
      <name val="Calibri"/>
      <family val="2"/>
    </font>
    <font>
      <sz val="11"/>
      <color theme="1"/>
      <name val="Calibri"/>
      <family val="2"/>
      <scheme val="minor"/>
    </font>
    <font>
      <b/>
      <sz val="11"/>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rgb="FF1F5C8B"/>
        <bgColor rgb="FF1F5C8B"/>
      </patternFill>
    </fill>
    <fill>
      <patternFill patternType="solid">
        <fgColor rgb="FF92D050"/>
        <bgColor rgb="FF92D050"/>
      </patternFill>
    </fill>
    <fill>
      <patternFill patternType="solid">
        <fgColor rgb="FF00B0F0"/>
        <bgColor indexed="64"/>
      </patternFill>
    </fill>
    <fill>
      <patternFill patternType="solid">
        <fgColor rgb="FF00B0F0"/>
        <bgColor rgb="FF92D050"/>
      </patternFill>
    </fill>
    <fill>
      <patternFill patternType="solid">
        <fgColor rgb="FFFFFF00"/>
        <bgColor indexed="64"/>
      </patternFill>
    </fill>
    <fill>
      <patternFill patternType="solid">
        <fgColor rgb="FFFFFF00"/>
        <bgColor rgb="FF92D050"/>
      </patternFill>
    </fill>
    <fill>
      <patternFill patternType="solid">
        <fgColor theme="8" tint="0.79998168889431442"/>
        <bgColor indexed="64"/>
      </patternFill>
    </fill>
    <fill>
      <patternFill patternType="solid">
        <fgColor theme="8" tint="0.79998168889431442"/>
        <bgColor rgb="FF92D05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9" fillId="0" borderId="0" applyFont="0" applyFill="0" applyBorder="0" applyAlignment="0" applyProtection="0"/>
    <xf numFmtId="44" fontId="9" fillId="0" borderId="0" applyFont="0" applyFill="0" applyBorder="0" applyAlignment="0" applyProtection="0"/>
  </cellStyleXfs>
  <cellXfs count="74">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20" fontId="3" fillId="4" borderId="1" xfId="0" applyNumberFormat="1" applyFont="1" applyFill="1" applyBorder="1" applyAlignment="1">
      <alignment horizontal="center" vertical="center" wrapText="1"/>
    </xf>
    <xf numFmtId="44" fontId="3" fillId="4" borderId="1"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165" fontId="4" fillId="4" borderId="1" xfId="0" applyNumberFormat="1" applyFont="1" applyFill="1" applyBorder="1" applyAlignment="1">
      <alignment vertical="center" wrapText="1"/>
    </xf>
    <xf numFmtId="0" fontId="4" fillId="4" borderId="0" xfId="0" applyFont="1" applyFill="1" applyAlignment="1">
      <alignment vertical="center" wrapText="1"/>
    </xf>
    <xf numFmtId="0" fontId="3" fillId="5"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20" fontId="3" fillId="6" borderId="1" xfId="0" applyNumberFormat="1" applyFont="1" applyFill="1" applyBorder="1" applyAlignment="1">
      <alignment horizontal="center" vertical="center" wrapText="1"/>
    </xf>
    <xf numFmtId="44" fontId="3" fillId="6" borderId="1"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65" fontId="4" fillId="6" borderId="1" xfId="0" applyNumberFormat="1" applyFont="1" applyFill="1" applyBorder="1" applyAlignment="1">
      <alignment vertical="center" wrapText="1"/>
    </xf>
    <xf numFmtId="0" fontId="3" fillId="7" borderId="1" xfId="0" applyFont="1" applyFill="1" applyBorder="1" applyAlignment="1">
      <alignment horizontal="center" vertical="center" wrapText="1"/>
    </xf>
    <xf numFmtId="44" fontId="3" fillId="6" borderId="5"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3"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wrapText="1"/>
    </xf>
    <xf numFmtId="0" fontId="7" fillId="0" borderId="0" xfId="0" applyFont="1" applyAlignment="1">
      <alignment wrapText="1"/>
    </xf>
    <xf numFmtId="0" fontId="3" fillId="8" borderId="1" xfId="0" applyFont="1" applyFill="1" applyBorder="1" applyAlignment="1">
      <alignment horizontal="center" vertical="center" wrapText="1"/>
    </xf>
    <xf numFmtId="164" fontId="3" fillId="8" borderId="1" xfId="0" applyNumberFormat="1" applyFont="1" applyFill="1" applyBorder="1" applyAlignment="1">
      <alignment horizontal="center" vertical="center" wrapText="1"/>
    </xf>
    <xf numFmtId="20" fontId="3" fillId="8" borderId="1" xfId="0" applyNumberFormat="1" applyFont="1" applyFill="1" applyBorder="1" applyAlignment="1">
      <alignment horizontal="center" vertical="center" wrapText="1"/>
    </xf>
    <xf numFmtId="44" fontId="3" fillId="8" borderId="1" xfId="0" applyNumberFormat="1"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165" fontId="4" fillId="8" borderId="1" xfId="0" applyNumberFormat="1" applyFont="1" applyFill="1" applyBorder="1" applyAlignment="1">
      <alignment vertical="center" wrapText="1"/>
    </xf>
    <xf numFmtId="0" fontId="6" fillId="8"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44" fontId="5" fillId="8" borderId="1" xfId="0" applyNumberFormat="1" applyFont="1" applyFill="1" applyBorder="1" applyAlignment="1">
      <alignment horizontal="center" vertical="center" wrapText="1"/>
    </xf>
    <xf numFmtId="0" fontId="3" fillId="8" borderId="0" xfId="0" applyFont="1" applyFill="1" applyAlignment="1">
      <alignment horizontal="center" vertical="center" wrapText="1"/>
    </xf>
    <xf numFmtId="0" fontId="5" fillId="8" borderId="1" xfId="0" applyFont="1" applyFill="1" applyBorder="1" applyAlignment="1">
      <alignment horizontal="center" vertical="center" wrapText="1"/>
    </xf>
    <xf numFmtId="44" fontId="5" fillId="8" borderId="5"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wrapText="1"/>
    </xf>
    <xf numFmtId="0" fontId="0" fillId="0" borderId="0" xfId="0" applyAlignment="1">
      <alignment horizontal="center" wrapText="1"/>
    </xf>
    <xf numFmtId="0" fontId="11" fillId="0" borderId="0" xfId="0" applyFont="1" applyAlignment="1">
      <alignment horizontal="center" wrapText="1"/>
    </xf>
    <xf numFmtId="0" fontId="0" fillId="0" borderId="0" xfId="0" applyFill="1" applyAlignment="1">
      <alignment wrapText="1"/>
    </xf>
    <xf numFmtId="0" fontId="3" fillId="8" borderId="3"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0" fillId="0" borderId="7" xfId="0" applyBorder="1"/>
    <xf numFmtId="0" fontId="10" fillId="0" borderId="7" xfId="0" applyFont="1" applyBorder="1"/>
    <xf numFmtId="43" fontId="0" fillId="0" borderId="7" xfId="1" applyFont="1" applyBorder="1"/>
    <xf numFmtId="43" fontId="10" fillId="0" borderId="7" xfId="1" applyFont="1" applyBorder="1"/>
    <xf numFmtId="44" fontId="0" fillId="0" borderId="7" xfId="2" applyFont="1" applyBorder="1"/>
    <xf numFmtId="44" fontId="10" fillId="0" borderId="7" xfId="2" applyFont="1" applyBorder="1"/>
    <xf numFmtId="167" fontId="0" fillId="0" borderId="7" xfId="1" applyNumberFormat="1" applyFont="1" applyBorder="1"/>
    <xf numFmtId="167" fontId="10" fillId="0" borderId="7" xfId="1" applyNumberFormat="1" applyFont="1" applyBorder="1"/>
  </cellXfs>
  <cellStyles count="3">
    <cellStyle name="Millares" xfId="1" builtinId="3"/>
    <cellStyle name="Moneda" xfId="2" builtinId="4"/>
    <cellStyle name="Normal" xfId="0" builtinId="0"/>
  </cellStyles>
  <dxfs count="5">
    <dxf>
      <numFmt numFmtId="34" formatCode="_ &quot;$&quot;* #,##0.00_ ;_ &quot;$&quot;* \-#,##0.00_ ;_ &quot;$&quot;* &quot;-&quot;??_ ;_ @_ "/>
    </dxf>
    <dxf>
      <numFmt numFmtId="34" formatCode="_ &quot;$&quot;* #,##0.00_ ;_ &quot;$&quot;* \-#,##0.00_ ;_ &quot;$&quot;* &quot;-&quot;??_ ;_ @_ "/>
    </dxf>
    <dxf>
      <numFmt numFmtId="34" formatCode="_ &quot;$&quot;* #,##0.00_ ;_ &quot;$&quot;* \-#,##0.00_ ;_ &quot;$&quot;* &quot;-&quot;??_ ;_ @_ "/>
    </dxf>
    <dxf>
      <numFmt numFmtId="34" formatCode="_ &quot;$&quot;* #,##0.00_ ;_ &quot;$&quot;* \-#,##0.00_ ;_ &quot;$&quot;* &quot;-&quot;??_ ;_ @_ "/>
    </dxf>
    <dxf>
      <numFmt numFmtId="34" formatCode="_ &quot;$&quot;* #,##0.00_ ;_ &quot;$&quot;* \-#,##0.00_ ;_ &quot;$&quot;*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E ROBERTO CAJAS GONZALEZ" refreshedDate="46164.751572453701" createdVersion="5" refreshedVersion="5" minRefreshableVersion="3" recordCount="91">
  <cacheSource type="worksheet">
    <worksheetSource ref="A5:W96" sheet="Hoja1"/>
  </cacheSource>
  <cacheFields count="23">
    <cacheField name="Nro. " numFmtId="0">
      <sharedItems containsSemiMixedTypes="0" containsString="0" containsNumber="1" containsInteger="1" minValue="1" maxValue="91"/>
    </cacheField>
    <cacheField name="Empresa" numFmtId="0">
      <sharedItems count="9">
        <s v="CNEL BOLIVAR"/>
        <s v="CNEL EL ORO"/>
        <s v="CNEL GUAYAS LOS RIOS"/>
        <s v="CNEL LOS RIOS"/>
        <s v="CNEL MANABÍ"/>
        <s v="CNEL MILAGRO"/>
        <s v="CNEL SUCUMBÍOS"/>
        <s v="CNEL ESMERALDAS"/>
        <s v="CNEL GUAYAQUIL"/>
      </sharedItems>
    </cacheField>
    <cacheField name="PROYECTO O DESCRIPCIÓN DE LOS TRABAJOS" numFmtId="0">
      <sharedItems longText="1"/>
    </cacheField>
    <cacheField name="LINEA DE SUBTRANSMISIÓN" numFmtId="0">
      <sharedItems containsBlank="1"/>
    </cacheField>
    <cacheField name="S/E" numFmtId="0">
      <sharedItems containsBlank="1"/>
    </cacheField>
    <cacheField name="ALIMENTADOR" numFmtId="0">
      <sharedItems containsBlank="1"/>
    </cacheField>
    <cacheField name="PROVINCIA" numFmtId="0">
      <sharedItems containsBlank="1"/>
    </cacheField>
    <cacheField name="CANTON" numFmtId="0">
      <sharedItems containsBlank="1"/>
    </cacheField>
    <cacheField name="CODIGO GIS" numFmtId="0">
      <sharedItems containsBlank="1"/>
    </cacheField>
    <cacheField name="Desconexiones Programadas" numFmtId="0">
      <sharedItems/>
    </cacheField>
    <cacheField name="MW (Desconectados)" numFmtId="0">
      <sharedItems containsSemiMixedTypes="0" containsString="0" containsNumber="1" minValue="0.05" maxValue="220"/>
    </cacheField>
    <cacheField name="Fecha de Inicio" numFmtId="164">
      <sharedItems containsSemiMixedTypes="0" containsNonDate="0" containsDate="1" containsString="0" minDate="2026-05-30T00:00:00" maxDate="2026-06-08T00:00:00"/>
    </cacheField>
    <cacheField name="Hora inicio" numFmtId="20">
      <sharedItems containsSemiMixedTypes="0" containsNonDate="0" containsDate="1" containsString="0" minDate="1899-12-30T00:00:00" maxDate="1899-12-30T15:30:00"/>
    </cacheField>
    <cacheField name="Fecha de Fin" numFmtId="164">
      <sharedItems containsSemiMixedTypes="0" containsNonDate="0" containsDate="1" containsString="0" minDate="2026-05-30T00:00:00" maxDate="2026-06-08T00:00:00"/>
    </cacheField>
    <cacheField name="Hora fin" numFmtId="20">
      <sharedItems containsSemiMixedTypes="0" containsNonDate="0" containsDate="1" containsString="0" minDate="1899-12-30T03:00:00" maxDate="1899-12-30T17:00:00"/>
    </cacheField>
    <cacheField name="$ Valoración de los trabajos (materiales + Mano de obra)" numFmtId="44">
      <sharedItems containsSemiMixedTypes="0" containsString="0" containsNumber="1" minValue="80" maxValue="290410.31"/>
    </cacheField>
    <cacheField name="Presupuesto requerido $" numFmtId="44">
      <sharedItems containsString="0" containsBlank="1" containsNumber="1" minValue="0" maxValue="22699.16"/>
    </cacheField>
    <cacheField name="Justificación del horario de ejecución" numFmtId="0">
      <sharedItems containsBlank="1"/>
    </cacheField>
    <cacheField name="ETAPA FUNCIONAL" numFmtId="0">
      <sharedItems/>
    </cacheField>
    <cacheField name="Clientes_x000a_Afectados" numFmtId="0">
      <sharedItems containsString="0" containsBlank="1" containsNumber="1" containsInteger="1" minValue="1" maxValue="96317"/>
    </cacheField>
    <cacheField name="Clientes Totales" numFmtId="0">
      <sharedItems containsString="0" containsBlank="1" containsNumber="1" containsInteger="1" minValue="1" maxValue="96317"/>
    </cacheField>
    <cacheField name="Energía kW-h (por desconexión)}" numFmtId="0">
      <sharedItems containsSemiMixedTypes="0" containsString="0" containsNumber="1" minValue="0" maxValue="660000"/>
    </cacheField>
    <cacheField name="USD energia (por desconexión)" numFmtId="165">
      <sharedItems containsSemiMixedTypes="0" containsString="0" containsNumber="1" minValue="0" maxValue="59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
  <r>
    <n v="1"/>
    <x v="0"/>
    <s v="CAMBIO DE TRANSFORMADOR PADMOUNTED DE SERVICIOS AUXILIARES / PRUEBAS ELÉCTRICAS DEL TRANSFORMADOR DE POTENCIA"/>
    <m/>
    <s v="03_03_ECHEANDIA"/>
    <m/>
    <s v="BOLIVAR"/>
    <s v="ECHEANDIA, LAS NAVES"/>
    <s v="03EC03"/>
    <s v="Trabajos Preventivos"/>
    <n v="2.1800000000000002"/>
    <d v="2026-05-30T00:00:00"/>
    <d v="1899-12-30T01:00:00"/>
    <d v="2026-05-30T00:00:00"/>
    <d v="1899-12-30T04:00:00"/>
    <n v="9758.66"/>
    <n v="0"/>
    <m/>
    <s v="SUBESTACIÓN"/>
    <n v="13592"/>
    <n v="13592"/>
    <n v="6540"/>
    <n v="588.6"/>
  </r>
  <r>
    <n v="2"/>
    <x v="0"/>
    <s v="CONSTRUCCION DE RED DE MEDIO VOLTAJE Y MONTAJE DE TRANSFORMADOR"/>
    <m/>
    <s v="03_03_ECHEANDIA"/>
    <s v="03_03_Echeandia 1"/>
    <s v="BOLIVAR"/>
    <s v="ECHEANDIA"/>
    <s v="03EC030T13"/>
    <s v="Ingreso nuevas cargas"/>
    <n v="0.19"/>
    <d v="2026-05-30T00:00:00"/>
    <d v="1899-12-30T01:00:00"/>
    <d v="2026-05-30T00:00:00"/>
    <d v="1899-12-30T04:00:00"/>
    <n v="14500"/>
    <n v="0"/>
    <m/>
    <s v="ALIMENTADOR"/>
    <m/>
    <m/>
    <n v="570"/>
    <n v="51.3"/>
  </r>
  <r>
    <n v="3"/>
    <x v="1"/>
    <s v="CAMBIO DE BARRAS 15KV EN TABLERO DE DISTRIBUCIÓN SUBTERRÁNEO"/>
    <m/>
    <m/>
    <s v="EL SOL"/>
    <s v="EL ORO"/>
    <s v="MACHALA"/>
    <s v="07MA040T15"/>
    <s v="Trabajos Correctivos"/>
    <n v="2"/>
    <d v="2026-05-30T00:00:00"/>
    <d v="1899-12-30T03:00:00"/>
    <d v="2026-05-30T00:00:00"/>
    <d v="1899-12-30T06:00:00"/>
    <n v="1700"/>
    <n v="0"/>
    <s v="Zona urbana- residencial"/>
    <s v="ALIMENTADOR"/>
    <n v="1882"/>
    <n v="1882"/>
    <n v="6000"/>
    <n v="540"/>
  </r>
  <r>
    <n v="4"/>
    <x v="1"/>
    <s v="CONEXIÓN DE EQUIPOS PARA NUEVO ALIMENTADOR DE MEDIA TENSIÓN"/>
    <m/>
    <s v="BALAO"/>
    <m/>
    <s v="GUAYAS"/>
    <s v="BALAO"/>
    <s v="07BL13"/>
    <s v="Ingreso nuevas cargas"/>
    <n v="11"/>
    <d v="2026-05-30T00:00:00"/>
    <d v="1899-12-30T03:00:00"/>
    <d v="2026-05-30T00:00:00"/>
    <d v="1899-12-30T06:00:00"/>
    <n v="6990.81"/>
    <n v="0"/>
    <s v="Horario de menor impacto en la demanda"/>
    <s v="SUBESTACIÓN"/>
    <n v="14991"/>
    <n v="14991"/>
    <n v="33000"/>
    <n v="2970"/>
  </r>
  <r>
    <n v="5"/>
    <x v="1"/>
    <s v="MNTTO EN ALIMENTADOR PRIMARIO (CAMBIO DE POSTES Y ESTRUCTURAS, LIMPIEZA DE VEGETACIÓN)"/>
    <m/>
    <m/>
    <s v="CETEORO"/>
    <s v="EL ORO"/>
    <s v="MACHALA"/>
    <s v="07PI060T14"/>
    <s v="Trabajos Preventivos"/>
    <n v="2.5"/>
    <d v="2026-05-30T00:00:00"/>
    <d v="1899-12-30T03:00:00"/>
    <d v="2026-05-30T00:00:00"/>
    <d v="1899-12-30T06:00:00"/>
    <n v="2444.7600000000002"/>
    <n v="0"/>
    <s v="Zona urbana- residencial"/>
    <s v="ALIMENTADOR"/>
    <n v="639"/>
    <n v="639"/>
    <n v="7500"/>
    <n v="675"/>
  </r>
  <r>
    <n v="6"/>
    <x v="1"/>
    <s v="MNTTO EN ALIMENTADOR PRIMARIO (MANTENIMIENTO A GABINETES DE DISTRIBUCIÓN) - CAMBIO DE SECCIONADORES EN TRANSICIÓN"/>
    <m/>
    <m/>
    <s v="ARÍZAGA"/>
    <s v="EL ORO"/>
    <s v="MACHALA"/>
    <s v="07MC080T13"/>
    <s v="Trabajos Preventivos"/>
    <n v="2.2999999999999998"/>
    <d v="2026-05-30T00:00:00"/>
    <d v="1899-12-30T03:00:00"/>
    <d v="2026-05-30T00:00:00"/>
    <d v="1899-12-30T06:00:00"/>
    <n v="1001.35"/>
    <n v="0"/>
    <s v="Zona urbana- residencial"/>
    <s v="ALIMENTADOR"/>
    <n v="3229"/>
    <n v="3229"/>
    <n v="6900"/>
    <n v="621"/>
  </r>
  <r>
    <n v="7"/>
    <x v="1"/>
    <s v="MNTTO EN ALIMENTADOR PRIMARIO (MANTENIMIENTO A GABINETES DE DISTRIBUCIÓN) - INSTALACIÓN DE CUCHILLAS EN TRANSICIÓN"/>
    <m/>
    <m/>
    <s v="FYBECA"/>
    <s v="EL ORO"/>
    <s v="MACHALA"/>
    <s v="07MC080T13"/>
    <s v="Trabajos Preventivos"/>
    <n v="3"/>
    <d v="2026-05-30T00:00:00"/>
    <d v="1899-12-30T03:00:00"/>
    <d v="2026-05-30T00:00:00"/>
    <d v="1899-12-30T06:00:00"/>
    <n v="4869.34"/>
    <n v="0"/>
    <s v="Zona urbana- residencial"/>
    <s v="ALIMENTADOR"/>
    <n v="3229"/>
    <n v="3229"/>
    <n v="9000"/>
    <n v="810"/>
  </r>
  <r>
    <n v="8"/>
    <x v="2"/>
    <s v="CONEXIÓN DE ACOMETIDAS DE 69 KV PARA ENERGIZACIÓN EN VACÍO DEL TRANSFORMADOR EN PEDRO CARBO DE NUEVO TRANSFORMADOR DE POTENCIA, PARA LIBERAR SUBESTACIÓN MÓVIL"/>
    <m/>
    <s v="PEDRO CARBO"/>
    <m/>
    <s v="GUAYAS"/>
    <s v="Pedro Carbo"/>
    <s v="09PC09"/>
    <s v="Trabajos Correctivos"/>
    <n v="7.5"/>
    <d v="2026-05-31T00:00:00"/>
    <d v="1899-12-30T04:00:00"/>
    <d v="2026-05-31T00:00:00"/>
    <d v="1899-12-30T06:00:00"/>
    <n v="2800"/>
    <n v="0"/>
    <s v="MENOR IMPACTO EN MADRUGADA"/>
    <s v="SUBESTACIÓN"/>
    <n v="13353"/>
    <n v="13353"/>
    <n v="15000"/>
    <n v="1350"/>
  </r>
  <r>
    <n v="9"/>
    <x v="2"/>
    <s v="- CAMBIO DE TOPOLOGÍA LT1, LT2_x000a_ - INGRESO A BAHÍA LT1 CON NUEVA LÍNEA_x000a_ - TENDIDO DE GUARDA HACIA S/E CATALUÑA_x000a_ - DESMONTAJE DE SECCIONADOR EXISTENTE LT1_x000a_ - READECUACIÓN PARA CAMBIO EN LA CONEXIÓN A S/E MÓVIL CELEC_x000a_ - SECCIONAMENTO DE LÍNEA EXISTENTE DAULE-JB AGUIRRE"/>
    <s v="DESCONEXIÓN DE LAS LÍNEAS LT1, LT2, LT3, LT4, LT5, MOVIL DE LA SUBESTACIÓN DOS CERRITOS SNT."/>
    <m/>
    <m/>
    <s v="GUAYAS"/>
    <s v="Daule, Salitre, Palestina, Balzar, Colimes, Santa Lucía, Samborondón"/>
    <s v="LST"/>
    <s v="Ingreso nuevas cargas"/>
    <n v="113"/>
    <d v="2026-05-30T00:00:00"/>
    <d v="1899-12-30T03:00:00"/>
    <d v="2026-05-30T00:00:00"/>
    <d v="1899-12-30T06:00:00"/>
    <n v="70000"/>
    <m/>
    <s v="MENOR IMPACTO EN MADRUGADA"/>
    <s v="LST"/>
    <n v="96317"/>
    <n v="96317"/>
    <n v="339000"/>
    <n v="30510"/>
  </r>
  <r>
    <n v="10"/>
    <x v="2"/>
    <s v="INTERCONEXION DE LA NUEVA LINEA DE SUBTRANSMISION BUENA FE PRONACA"/>
    <s v="BUENA FE - PRONACA"/>
    <s v="BUENA FE"/>
    <m/>
    <s v="Los Ríos"/>
    <s v="Buena Fe"/>
    <s v="LST"/>
    <s v="Ingreso nuevas cargas"/>
    <n v="11.13"/>
    <d v="2026-05-30T00:00:00"/>
    <d v="1899-12-30T03:00:00"/>
    <d v="2026-05-30T00:00:00"/>
    <d v="1899-12-30T06:00:00"/>
    <n v="3500"/>
    <m/>
    <s v="PARA REALIZAR LOS TRABAJOS SE REQUIERE LA LUZ DEL DÍA DEBIDO A QUE NO SE CUENTA CON SUFICIENTE ILUMINACION PARA REALIZAR LOS TRABAJOS EN REDES DE ALTA TENSIÓN"/>
    <s v="LST"/>
    <n v="16442"/>
    <n v="16442"/>
    <n v="33390"/>
    <n v="3005.1"/>
  </r>
  <r>
    <n v="11"/>
    <x v="2"/>
    <s v="'- CAMBIO DE TOPOLOGÍA LT5_x000a_- COMPLETAR INGRESO A BAHÍA LT1 CON NUEVA LÍNEA_x000a_- PUESTA EN OPERACIÓN NUEVO SECCIONADOR LT1_x000a_- SECCIONAMENTO DE LÍNEA EXISTENTE DAULE-JB AGUIRRE_x000a_- ENERGIZACIÓN DE NUEVA LT1 Y TOMA DE CARGA"/>
    <s v="DESCONEXIÓN DE LA LÍNEA LT5 DE LA SUBESTACIÓN DOS CERRITOS SNT."/>
    <m/>
    <m/>
    <s v="GUAYAS"/>
    <s v="Daule, Salitre, Palestina, Balzar, Colimes, Santa Lucía"/>
    <s v="LST"/>
    <s v="Ingreso nuevas cargas"/>
    <n v="45"/>
    <d v="2026-05-31T00:00:00"/>
    <d v="1899-12-30T03:00:00"/>
    <d v="2026-05-31T00:00:00"/>
    <d v="1899-12-30T06:00:00"/>
    <n v="8000"/>
    <m/>
    <s v="MENOR IMPACTO EN MADRUGADA"/>
    <s v="LST"/>
    <n v="55764"/>
    <n v="55764"/>
    <n v="135000"/>
    <n v="12150"/>
  </r>
  <r>
    <n v="12"/>
    <x v="2"/>
    <s v="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
    <m/>
    <s v="EL RECREO"/>
    <m/>
    <s v="GUAYAS"/>
    <s v="Durán"/>
    <s v="09ER21"/>
    <s v="Trabajos Correctivos"/>
    <n v="25.49"/>
    <d v="2026-05-31T00:00:00"/>
    <d v="1899-12-30T03:00:00"/>
    <d v="2026-05-31T00:00:00"/>
    <d v="1899-12-30T06:00:00"/>
    <n v="6500"/>
    <m/>
    <s v="MENOR IMPACTO EN MADRUGADA"/>
    <s v="SUBESTACIÓN"/>
    <n v="24491"/>
    <n v="24491"/>
    <n v="76470"/>
    <n v="6882.3"/>
  </r>
  <r>
    <n v="13"/>
    <x v="2"/>
    <s v="REEMPLAZO DE SECCIONADORES TRIPOLARES DE POSICIÓN DE BARRA, BARRA DE TRANSFERENCIA Y ACOPLE DE POSICIÓN PASCULAES MANGLERO"/>
    <s v="MANGLERO"/>
    <m/>
    <m/>
    <s v="GUAYAS"/>
    <s v="Samborondón"/>
    <m/>
    <s v="Trabajos Correctivos"/>
    <n v="31"/>
    <d v="2026-05-31T00:00:00"/>
    <d v="1899-12-30T01:00:00"/>
    <d v="2026-05-31T00:00:00"/>
    <d v="1899-12-30T11:00:00"/>
    <n v="63000"/>
    <m/>
    <s v="POR DESCONEXIÓN DE SUBESTACIÓN PASCUALES DE TRANSELECTRIC"/>
    <s v="LST"/>
    <n v="33268"/>
    <n v="33268"/>
    <n v="310000"/>
    <n v="27900"/>
  </r>
  <r>
    <n v="14"/>
    <x v="2"/>
    <s v="APLOME DE POSTES EN LA LLEGADA A LA SUBESTACION DAULE SUR - POSTE DONDE SE TIENE UBICADO EL SECCIONAMIENTO DE INTERCONEXION ENTRE LST DAULE Y TAP BANIFE"/>
    <s v="TAP KUBIEC Y TAP BANIFE"/>
    <m/>
    <m/>
    <s v="GUAYAS"/>
    <s v="Daule"/>
    <m/>
    <s v="Trabajos Correctivos"/>
    <n v="43"/>
    <d v="2026-05-31T00:00:00"/>
    <d v="1899-12-30T01:00:00"/>
    <d v="2026-05-31T00:00:00"/>
    <d v="1899-12-30T11:00:00"/>
    <n v="2100"/>
    <m/>
    <s v="POR DESCONEXIÓN DE SUBESTACIÓN PASCUALES DE TRANSELECTRIC"/>
    <s v="LST"/>
    <n v="83738"/>
    <n v="83738"/>
    <n v="430000"/>
    <n v="38700"/>
  </r>
  <r>
    <n v="15"/>
    <x v="2"/>
    <s v="CAMBIO DE POSTES EN MAL ESTADO "/>
    <m/>
    <m/>
    <s v="Isidro Ayora"/>
    <s v="GUAYAS"/>
    <s v="Daule"/>
    <m/>
    <s v="Trabajos Preventivos"/>
    <n v="2.2999999999999998"/>
    <d v="2026-05-31T00:00:00"/>
    <d v="1899-12-30T01:00:00"/>
    <d v="2026-05-31T00:00:00"/>
    <d v="1899-12-30T11:00:00"/>
    <n v="1100"/>
    <m/>
    <s v="POR DESCONEXIÓN DE SUBESTACIÓN PASCUALES DE TRANSELECTRIC"/>
    <s v="LST"/>
    <n v="2617"/>
    <n v="2617"/>
    <n v="23000"/>
    <n v="2070"/>
  </r>
  <r>
    <n v="16"/>
    <x v="2"/>
    <s v="REEMPLAZO DE SECCIONADORES DE 69 KV EN POSICIÓN MANGLERO DE SUBESTACIÓN PASCUALES CELEC EP"/>
    <s v="LST PASCUALES MANGLERO"/>
    <m/>
    <m/>
    <m/>
    <m/>
    <s v="LST PASCUALES MANGLERO"/>
    <s v="Trabajos Correctivos"/>
    <n v="65"/>
    <d v="2026-05-31T00:00:00"/>
    <d v="1899-12-30T01:00:00"/>
    <d v="2026-05-31T00:00:00"/>
    <d v="1899-12-30T11:00:00"/>
    <n v="57434"/>
    <n v="0"/>
    <s v="TRABAJOS PARA APROVECHAR DESCONEXIÓN DE SE PASCUALES CELEC EP"/>
    <s v="LST"/>
    <n v="29832"/>
    <n v="11667"/>
    <n v="123000"/>
    <n v="11070"/>
  </r>
  <r>
    <n v="17"/>
    <x v="3"/>
    <s v="CAMBIO DE CONDUCTOR AISLADO SOTERRADO EN LAS SALIDAS DE LOS ALIMENTADORES VINCES CENTRO, VINCES SUR Y ANTONIO SOTOMAYOR, POR DESGASTE EN EL AISLAMIENTO DE LOS CONDUCTORES."/>
    <m/>
    <s v="VINCES"/>
    <m/>
    <s v="LOS RIOS"/>
    <s v="VINCES, BABA"/>
    <s v="10VI08"/>
    <s v="Trabajos Correctivos"/>
    <n v="9.5"/>
    <d v="2026-05-30T00:00:00"/>
    <d v="1899-12-30T03:00:00"/>
    <d v="2026-05-30T00:00:00"/>
    <d v="1899-12-30T07:00:00"/>
    <n v="24162.48"/>
    <n v="0"/>
    <s v="SE PLANTEA EL HORARIO MOSTRADO DEBIDO AL TOQUE DE QUEDA QUE CULMINA 05H00 Y LA SE VINCES ESTA A 45 MINUTOS DE DISTANCIA DE DONDE SALE EL PERSONAL Y EL TRASLADO HACIA LA SE EN HORAS DE LA MADRUGADA ES ALTAMENTE PELIGROSO"/>
    <s v="SUBESTACIÓN"/>
    <n v="21407"/>
    <n v="21407"/>
    <n v="38000"/>
    <n v="3420"/>
  </r>
  <r>
    <n v="18"/>
    <x v="3"/>
    <s v="CORRECCIÓN DE PUNTOS CALIENTES EN BUSHINGS DEL TRANSFORMADOR DE POTENCIA Y EN SECCIONAMIENTOS A NIVEL DE 13,8KV"/>
    <m/>
    <s v="CEDEGE"/>
    <m/>
    <s v="LOS RIOS"/>
    <s v="BABAHOYO, MONTALVO"/>
    <s v="10CE03"/>
    <s v="Trabajos Correctivos"/>
    <n v="6.5"/>
    <d v="2026-05-31T00:00:00"/>
    <d v="1899-12-30T03:00:00"/>
    <d v="2026-05-31T00:00:00"/>
    <d v="1899-12-30T06:00:00"/>
    <n v="5445.85"/>
    <n v="0"/>
    <s v="SE PLANTEA EL HORARIO MOSTRADO DEBIDO AL TOQUE DE QUEDA QUE CULMINA 05H00 Y LA SE CEDEGE ESTA A 25 MINUTOS DE DISTANCIA DE DONDE SALE EL PERSONAL Y EL TRASLADO HACIA LA SE EN HORAS DE LA MADRUGADA ES ALTAMENTE PELIGROSO"/>
    <s v="SUBESTACIÓN"/>
    <n v="21995"/>
    <n v="21995"/>
    <n v="19500"/>
    <n v="1755"/>
  </r>
  <r>
    <n v="19"/>
    <x v="4"/>
    <s v="Cambio de aisladores, desbroce, reubicacion de postes"/>
    <s v="ROCAFUERTE - CRUCITA"/>
    <m/>
    <m/>
    <s v="MANABI"/>
    <s v="PORTOVIEJO"/>
    <s v="LST"/>
    <s v="Trabajos Preventivos"/>
    <n v="17.145"/>
    <d v="2026-05-30T00:00:00"/>
    <d v="1899-12-30T06:00:00"/>
    <d v="2026-05-30T00:00:00"/>
    <d v="1899-12-30T09:00:00"/>
    <n v="9886"/>
    <n v="0"/>
    <s v="Trabajos seran realizados en zona montañosa y de dificil acceso, por esta razon se requiere tener visibilidad en lostrabajos e ingreso a los puntos"/>
    <s v="LST"/>
    <n v="17145"/>
    <n v="17145"/>
    <n v="51435"/>
    <n v="4629.1499999999996"/>
  </r>
  <r>
    <n v="20"/>
    <x v="4"/>
    <s v="CORRECCION DE PUNTO CALIENTE Y CAMBIO DE SECCIONADOR BY PASS, 13.8 KV SE T3 PORTOVIEJO 1"/>
    <m/>
    <s v="PORTOVIEJO 1 - T3"/>
    <s v="No 05; 08; 10"/>
    <s v="MANABI"/>
    <s v="PORTOVIEJO"/>
    <s v="11P109"/>
    <s v="Trabajos Preventivos"/>
    <n v="10"/>
    <d v="2026-05-31T00:00:00"/>
    <d v="1899-12-30T03:00:00"/>
    <d v="2026-05-31T00:00:00"/>
    <d v="1899-12-30T06:00:00"/>
    <n v="4480"/>
    <n v="0"/>
    <s v="Horario de menora afectación"/>
    <s v="SUBESTACIÓN"/>
    <n v="8819"/>
    <n v="8819"/>
    <n v="0"/>
    <n v="0"/>
  </r>
  <r>
    <n v="21"/>
    <x v="5"/>
    <s v="ANOMALÍAS TÉRMICAS EN EL RECONECTADOR DE CABECERA VILLANUEVA 2, DISYUNTOR LLEGADA PUERTO INCA, SALIDA BALAO 4, DESBROCE VEGETACIÓN A NIVEL DE DISTRIBUCIÓN 13,8kV"/>
    <m/>
    <s v="NARANJAL"/>
    <m/>
    <s v="GUAYAS"/>
    <s v="NARANJAL"/>
    <s v="12NA09"/>
    <s v="Trabajos Correctivos"/>
    <n v="8"/>
    <d v="2026-05-31T00:00:00"/>
    <d v="1899-12-30T02:00:00"/>
    <d v="2026-05-31T00:00:00"/>
    <d v="1899-12-30T05:00:00"/>
    <n v="4195.24"/>
    <n v="0"/>
    <s v="SECTORES RURALES ALEJADOS DE LA CIUDAD,ZONA PELIGROSA"/>
    <s v="SUBESTACIÓN"/>
    <n v="9042"/>
    <n v="9042"/>
    <n v="24000"/>
    <n v="2160"/>
  </r>
  <r>
    <n v="22"/>
    <x v="5"/>
    <s v="ANOMALÍAS TÉRMICAS EN ENTRADA AL SECCIONADOR DE BARRA FASE C Y EN SALIDA DEL SECCIONADOR DE BARRA FASE A"/>
    <m/>
    <s v="MILAGRO SUR"/>
    <m/>
    <s v="GUAYAS"/>
    <s v="MILAGRO"/>
    <s v="12MS13"/>
    <s v="Trabajos Correctivos"/>
    <n v="3"/>
    <d v="2026-05-30T00:00:00"/>
    <d v="1899-12-30T02:00:00"/>
    <d v="2026-05-30T00:00:00"/>
    <d v="1899-12-30T05:00:00"/>
    <n v="692.48"/>
    <n v="0"/>
    <m/>
    <s v="SUBESTACIÓN"/>
    <n v="7065"/>
    <n v="7065"/>
    <n v="9000"/>
    <n v="810"/>
  </r>
  <r>
    <n v="23"/>
    <x v="5"/>
    <s v="ANOMALÍAS TÉRMICAS EN RECONECTADOR DE BARRAS, CT´S DE BARRAS, CAMBIO DE CONFIGURACIÓN DE ESTRUCTURAS EN POSTES ALEJADOS DE LA CARRETERA"/>
    <m/>
    <s v="CHOBO"/>
    <m/>
    <s v="GUAYAS"/>
    <s v="MILAGRO"/>
    <s v="12CH16"/>
    <s v="Trabajos Correctivos"/>
    <n v="2.5"/>
    <d v="2026-05-30T00:00:00"/>
    <d v="1899-12-30T02:00:00"/>
    <d v="2026-05-30T00:00:00"/>
    <d v="1899-12-30T05:00:00"/>
    <n v="3045.24"/>
    <n v="0"/>
    <s v="SECTORES RURALES ALEJADOS DE LA CIUDAD, ZONA PELIGROSA"/>
    <s v="SUBESTACIÓN"/>
    <n v="217"/>
    <n v="217"/>
    <n v="7500"/>
    <n v="675"/>
  </r>
  <r>
    <n v="24"/>
    <x v="6"/>
    <s v="CAMBIO DE CADENA DE AISLADORES EN FASE MEDIA, ESTRUCTURA N.º 102: POSTE DE HORMIGÓN EN SUSPENSIÓN"/>
    <s v="JIVINO - SACHA"/>
    <m/>
    <m/>
    <s v="Orellana"/>
    <s v="Joya de los Sachas"/>
    <s v="LST"/>
    <s v="Trabajos Preventivos"/>
    <n v="6.03"/>
    <d v="2026-05-30T00:00:00"/>
    <d v="1899-12-30T03:00:00"/>
    <d v="2026-05-30T00:00:00"/>
    <d v="1899-12-30T06:00:00"/>
    <n v="600"/>
    <n v="0"/>
    <s v="TRANSFERENCIA DE CARGA, AL CULMINAR LOS TRABAJOS SE DESCONECTA TODA LA CARGA POR 5 MIN APROXIMADAMENTE"/>
    <s v="LST"/>
    <n v="15946"/>
    <n v="15946"/>
    <n v="18090"/>
    <n v="1628.1"/>
  </r>
  <r>
    <n v="25"/>
    <x v="6"/>
    <s v="CAMBIO DE POSTE DE HORMIGÓN EN MAL ESTADO DE 12 METROS"/>
    <m/>
    <m/>
    <s v="VIA JIVINO"/>
    <s v="Sucumbíos"/>
    <s v="Lago Agrio"/>
    <s v="20LG010T14"/>
    <s v="Trabajos Correctivos"/>
    <n v="2.19"/>
    <d v="2026-05-30T00:00:00"/>
    <d v="1899-12-30T03:00:00"/>
    <d v="2026-05-30T00:00:00"/>
    <d v="1899-12-30T06:00:00"/>
    <n v="900"/>
    <n v="0"/>
    <m/>
    <s v="ALIMENTADOR"/>
    <n v="5862"/>
    <n v="5862"/>
    <n v="6570"/>
    <n v="591.29999999999995"/>
  </r>
  <r>
    <n v="26"/>
    <x v="0"/>
    <s v="CORRECCIÓN DE PUNTO CALIENTE EN BARRAS DE 69 KV"/>
    <m/>
    <s v="03_04_COCHABAMBA"/>
    <m/>
    <s v="BOLIVAR"/>
    <s v="SAN MIGUEL, CHILLANES"/>
    <s v="03CO04"/>
    <s v="Trabajos Correctivos"/>
    <n v="1.22"/>
    <d v="2026-06-06T00:00:00"/>
    <d v="1899-12-30T03:00:00"/>
    <d v="2026-06-06T00:00:00"/>
    <d v="1899-12-30T06:00:00"/>
    <n v="400"/>
    <n v="0"/>
    <m/>
    <s v="SUBESTACIÓN"/>
    <n v="10655"/>
    <n v="10655"/>
    <n v="3660"/>
    <n v="329.4"/>
  </r>
  <r>
    <n v="27"/>
    <x v="1"/>
    <s v="MNTTO EN ALIMENTADOR PRIMARIO (CAMBIO DE POSTES Y ESTRUCTURAS, LIMPIEZA DE VEGETACIÓN)"/>
    <m/>
    <m/>
    <s v="ATAHUALPA"/>
    <s v="EL ORO"/>
    <s v="ATAHUALPA"/>
    <s v="07PO100T25"/>
    <s v="Trabajos Preventivos"/>
    <n v="4"/>
    <d v="2026-06-06T00:00:00"/>
    <d v="1899-12-30T07:00:00"/>
    <d v="2026-06-06T00:00:00"/>
    <d v="1899-12-30T10:00:00"/>
    <n v="9172.9500000000007"/>
    <n v="0"/>
    <s v="Zona alta de la provincia, en la madrugada se presentan condiciones climáticas adversas, se considera el tiempo de traslada hacia los sitios de trabajo"/>
    <s v="ALIMENTADOR"/>
    <n v="3429"/>
    <n v="3429"/>
    <n v="12000"/>
    <n v="1080"/>
  </r>
  <r>
    <n v="28"/>
    <x v="1"/>
    <s v="MNTTO EN ALIMENTADOR PRIMARIO (CAMBIO DE POSTES Y ESTRUCTURAS, LIMPIEZA DE VEGETACIÓN)"/>
    <m/>
    <m/>
    <s v="CORDÓN FRONTERIZO"/>
    <s v="EL ORO"/>
    <s v="ARENILLAS"/>
    <s v="07AR090T13"/>
    <s v="Trabajos Preventivos"/>
    <n v="1.8"/>
    <d v="2026-06-06T00:00:00"/>
    <d v="1899-12-30T07:00:00"/>
    <d v="2026-06-06T00:00:00"/>
    <d v="1899-12-30T10:00:00"/>
    <n v="7282.12"/>
    <n v="0"/>
    <s v="En la madrugada se presentan condiciones climáticas adversas, se considera el tiempo de traslada hacia los sitios de trabajo"/>
    <s v="ALIMENTADOR"/>
    <n v="5556"/>
    <n v="5556"/>
    <n v="5400"/>
    <n v="486"/>
  </r>
  <r>
    <n v="29"/>
    <x v="1"/>
    <s v="MNTTO EN ALIMENTADOR PRIMARIO (CAMBIO DE POSTES Y ESTRUCTURAS, LIMPIEZA DE VEGETACIÓN)"/>
    <m/>
    <m/>
    <s v="BARBONES TENDALES"/>
    <s v="EL ORO"/>
    <s v="EL GUABO"/>
    <s v="07BA020T11"/>
    <s v="Trabajos Preventivos"/>
    <n v="2"/>
    <d v="2026-06-07T00:00:00"/>
    <d v="1899-12-30T07:00:00"/>
    <d v="2026-06-07T00:00:00"/>
    <d v="1899-12-30T10:00:00"/>
    <n v="6002.05"/>
    <n v="0"/>
    <s v="Sector con alto nivel de inseguridad, se considera el tiempo de traslada hacia los sitios de trabajo"/>
    <s v="ALIMENTADOR"/>
    <n v="3353"/>
    <n v="3353"/>
    <n v="6000"/>
    <n v="540"/>
  </r>
  <r>
    <n v="30"/>
    <x v="1"/>
    <s v="MNTTO EN ALIMENTADOR PRIMARIO (RECONFIGURACIÓN DE LINEA DE MV, CAMBIO DE ESTRUCTURAS)"/>
    <m/>
    <m/>
    <s v="ZARUMA"/>
    <s v="EL ORO"/>
    <s v="ZARUMA"/>
    <s v="07PO100T11"/>
    <s v="Trabajos Preventivos"/>
    <n v="4.5"/>
    <d v="2026-06-07T00:00:00"/>
    <d v="1899-12-30T07:00:00"/>
    <d v="2026-06-07T00:00:00"/>
    <d v="1899-12-30T10:00:00"/>
    <n v="10344.65"/>
    <n v="0"/>
    <s v="Zona alta de la provincia, en la madrugada se presentan condiciones climáticas adversas, se considera el tiempo de traslada hacia los sitios de trabajo"/>
    <s v="ALIMENTADOR"/>
    <n v="2335"/>
    <n v="2335"/>
    <n v="13500"/>
    <n v="1215"/>
  </r>
  <r>
    <n v="31"/>
    <x v="1"/>
    <s v="MANTENIMIENTO PROGRAMADO POR EL TRANSMISOR EN LA L/T MACHALA - LA AVANZADA 230 kV C1"/>
    <m/>
    <s v="LA AVANZADA"/>
    <m/>
    <s v="EL ORO"/>
    <s v="SANTA ROSA"/>
    <s v="07AV05"/>
    <s v="Trabajos Preventivos"/>
    <n v="2"/>
    <d v="2026-06-06T00:00:00"/>
    <d v="1899-12-30T06:00:00"/>
    <d v="2026-06-06T00:00:00"/>
    <d v="1899-12-30T10:00:00"/>
    <n v="1830.76"/>
    <n v="0"/>
    <s v="Horario definido por el Transmisior y aceptado por el Cenace"/>
    <s v="SUBESTACIÓN"/>
    <n v="4763"/>
    <n v="4763"/>
    <n v="8000"/>
    <n v="720"/>
  </r>
  <r>
    <n v="32"/>
    <x v="1"/>
    <s v="MANTENIMIENTO PROGRAMADO POR EL TRANSMISOR EN LA L/T MACHALA - LA AVANZADA 230 kV C1"/>
    <m/>
    <s v="SANTA ROSA"/>
    <m/>
    <s v="EL ORO"/>
    <s v="SANTA ROSA"/>
    <s v="07SR07"/>
    <s v="Trabajos Preventivos"/>
    <n v="14"/>
    <d v="2026-06-06T00:00:00"/>
    <d v="1899-12-30T06:00:00"/>
    <d v="2026-06-06T00:00:00"/>
    <d v="1899-12-30T10:00:00"/>
    <n v="1830.76"/>
    <n v="0"/>
    <s v="Horario definido por el Transmisior y aceptado por el Cenace"/>
    <s v="SUBESTACIÓN"/>
    <n v="23387"/>
    <n v="23387"/>
    <n v="56000"/>
    <n v="5040"/>
  </r>
  <r>
    <n v="33"/>
    <x v="1"/>
    <s v="MANTENIMIENTO PROGRAMADO POR EL TRANSMISOR EN LA L/T MACHALA - LA AVANZADA 230 kV C1"/>
    <m/>
    <s v="ARENILLAS"/>
    <m/>
    <s v="EL ORO"/>
    <s v="ARENILLAS_x000a_LAS LAJAS"/>
    <s v="07AR09"/>
    <s v="Trabajos Preventivos"/>
    <n v="14"/>
    <d v="2026-06-06T00:00:00"/>
    <d v="1899-12-30T06:00:00"/>
    <d v="2026-06-06T00:00:00"/>
    <d v="1899-12-30T10:00:00"/>
    <n v="1830.76"/>
    <n v="0"/>
    <s v="Horario definido por el Transmisior y aceptado por el Cenace"/>
    <s v="SUBESTACIÓN"/>
    <n v="14799"/>
    <n v="14799"/>
    <n v="56000"/>
    <n v="5040"/>
  </r>
  <r>
    <n v="34"/>
    <x v="1"/>
    <s v="MANTENIMIENTO PROGRAMADO POR EL TRANSMISOR EN LA L/T MACHALA - LA AVANZADA 230 kV C1"/>
    <m/>
    <s v="HUAQUILLAS"/>
    <m/>
    <s v="EL ORO"/>
    <s v="HUAQUILLAS"/>
    <s v="07HU11"/>
    <s v="Trabajos Preventivos"/>
    <n v="14"/>
    <d v="2026-06-06T00:00:00"/>
    <d v="1899-12-30T06:00:00"/>
    <d v="2026-06-06T00:00:00"/>
    <d v="1899-12-30T10:00:00"/>
    <n v="1830.76"/>
    <n v="0"/>
    <s v="Horario definido por el Transmisior y aceptado por el Cenace"/>
    <s v="SUBESTACIÓN"/>
    <n v="18838"/>
    <n v="18838"/>
    <n v="56000"/>
    <n v="5040"/>
  </r>
  <r>
    <n v="35"/>
    <x v="1"/>
    <s v="MANTENIMIENTO PROGRAMADO POR EL TRANSMISOR EN LA L/T MACHALA - LA AVANZADA 230 kV C1"/>
    <m/>
    <s v="SARACAY"/>
    <m/>
    <s v="EL ORO"/>
    <s v="BALSAS_x000a_MARCABELÍ"/>
    <s v="07SA14"/>
    <s v="Trabajos Preventivos"/>
    <n v="3"/>
    <d v="2026-06-06T00:00:00"/>
    <d v="1899-12-30T06:00:00"/>
    <d v="2026-06-06T00:00:00"/>
    <d v="1899-12-30T10:00:00"/>
    <n v="1830.76"/>
    <n v="0"/>
    <s v="Horario definido por el Transmisior y aceptado por el Cenace"/>
    <s v="SUBESTACIÓN"/>
    <n v="9605"/>
    <n v="9605"/>
    <n v="12000"/>
    <n v="1080"/>
  </r>
  <r>
    <n v="36"/>
    <x v="1"/>
    <s v="MANTENIMIENTO PROGRAMADO POR EL TRANSMISOR EN LA L/T MACHALA - LA AVANZADA 230 kV C1"/>
    <m/>
    <s v="PORTOVELO"/>
    <m/>
    <s v="EL ORO"/>
    <s v="PIÑAS_x000a_ATAHUALPA_x000a_ZARUMA_x000a_PORTOVELO"/>
    <s v="07PO10"/>
    <s v="Trabajos Preventivos"/>
    <n v="25"/>
    <d v="2026-06-06T00:00:00"/>
    <d v="1899-12-30T06:00:00"/>
    <d v="2026-06-06T00:00:00"/>
    <d v="1899-12-30T10:00:00"/>
    <n v="1830.76"/>
    <n v="0"/>
    <s v="Horario definido por el Transmisior y aceptado por el Cenace"/>
    <s v="SUBESTACIÓN"/>
    <n v="29362"/>
    <n v="29362"/>
    <n v="100000"/>
    <n v="9000"/>
  </r>
  <r>
    <n v="37"/>
    <x v="7"/>
    <s v="TRABAJO CONTRTADO MANTENIMIENTO DE TRANSFORMADOR DE POTENCIA EN FRÍO (pruebas electricas, ajuste de terminales, pernos conexiones, pintura etc.) Subestación Viche"/>
    <m/>
    <s v="VICHE"/>
    <m/>
    <s v="ESMERALDAS"/>
    <s v="QUININDE"/>
    <s v="08VI15"/>
    <s v="Trabajos Preventivos"/>
    <n v="2.54"/>
    <d v="2026-06-06T00:00:00"/>
    <d v="1899-12-30T03:00:00"/>
    <d v="2026-06-06T00:00:00"/>
    <d v="1899-12-30T06:00:00"/>
    <n v="18426.349999999999"/>
    <n v="0"/>
    <s v="HORARIO DE MENOR IMPACTO HACIA LOS USUARIOS POR DESLASTRE DE CARGA EN DEMANDA MINIMA"/>
    <s v="SUBESTACIÓN"/>
    <n v="5442"/>
    <n v="5442"/>
    <n v="7620"/>
    <n v="685.8"/>
  </r>
  <r>
    <n v="38"/>
    <x v="7"/>
    <s v="TRABAJOS DE MANTENIMIENTO PROGRAMADO LST PRADERA - ATACAMES, TRABAJOS DESBROCE DE VEGETACION Y TALA DE ARBOLES CERCANOS A LA RED"/>
    <s v="PRADERA - ATACAMES"/>
    <m/>
    <m/>
    <s v="ESMERALDAS"/>
    <s v="ATACAMES"/>
    <s v="LST"/>
    <s v="Trabajos Preventivos"/>
    <n v="19.850000000000001"/>
    <d v="2026-06-07T00:00:00"/>
    <d v="1899-12-30T03:00:00"/>
    <d v="2026-06-07T00:00:00"/>
    <d v="1899-12-30T06:00:00"/>
    <n v="4000"/>
    <n v="0"/>
    <s v="HORARIO DE MENOR IMPACTO HACIA LOS USUARIOS POR DESLASTRE DE CARGA EN DEMANDA MINIMA"/>
    <s v="LST"/>
    <n v="26127"/>
    <n v="26127"/>
    <n v="59550"/>
    <n v="5359.5"/>
  </r>
  <r>
    <n v="39"/>
    <x v="2"/>
    <s v="TOMA DE CARGA DEL TRANSFORMADOR DE NUEVO TRANSFORMADOR DE POTENCIA EN PEDRO CARBO, PARA LIBERAR SUBESTACIÓN MÓVIL"/>
    <m/>
    <s v="PEDRO CARBO"/>
    <m/>
    <s v="GUAYAS"/>
    <s v="Pedro Carbo"/>
    <s v="09PC09"/>
    <s v="Trabajos Correctivos"/>
    <n v="7.5"/>
    <d v="2026-06-06T00:00:00"/>
    <d v="1899-12-30T03:00:00"/>
    <d v="2026-06-06T00:00:00"/>
    <d v="1899-12-30T06:00:00"/>
    <n v="1500"/>
    <m/>
    <s v="MENOR IMPACTO EN MADRUGADA"/>
    <s v="SUBESTACIÓN"/>
    <n v="13379"/>
    <n v="13379"/>
    <n v="22500"/>
    <n v="2025"/>
  </r>
  <r>
    <n v="40"/>
    <x v="2"/>
    <s v="DESCONEXIÓN CNEL 2, CNEL 3, CNEL 4 PARA CAMBIO DE TOPOLOGIA Y REPOTENCIACIÓN DE LÍNEA DE SUBTRANSMIÓN HOSPITAL DURÁN - DURÁN SUR"/>
    <s v="CNEL 2, CNEL 3, CNEL 4"/>
    <m/>
    <m/>
    <s v="GUAYAS"/>
    <s v="Durán"/>
    <m/>
    <s v="Ingreso nuevas cargas"/>
    <n v="220"/>
    <d v="2026-06-07T00:00:00"/>
    <d v="1899-12-30T03:00:00"/>
    <d v="2026-06-07T00:00:00"/>
    <d v="1899-12-30T06:00:00"/>
    <n v="6800"/>
    <m/>
    <s v="MENOR IMPACTO EN MADRUGADA"/>
    <s v="LST"/>
    <n v="41887"/>
    <n v="41887"/>
    <n v="660000"/>
    <n v="59400"/>
  </r>
  <r>
    <n v="41"/>
    <x v="2"/>
    <s v="CAMBIO DE ESTRUPTURAS Y CORRECCION DE ANOMALIAS TERMICAS"/>
    <m/>
    <s v="MOCACHE"/>
    <s v="MOCACHE"/>
    <m/>
    <m/>
    <s v="09MC420T11"/>
    <s v="Trabajos Preventivos"/>
    <n v="3"/>
    <d v="2026-06-06T00:00:00"/>
    <d v="1899-12-30T00:00:00"/>
    <d v="2026-06-06T00:00:00"/>
    <d v="1899-12-30T03:00:00"/>
    <n v="1350"/>
    <n v="0"/>
    <s v="MENOR IMPACTO EN MADRUGADA"/>
    <s v="ALIMENTADOR"/>
    <n v="6880"/>
    <n v="6880"/>
    <n v="9000"/>
    <n v="810"/>
  </r>
  <r>
    <n v="42"/>
    <x v="2"/>
    <s v="CONSTRUCCION DE RED DE MEDIA TENSION SEGÚN CONTRATO CNEL-GLR-AJ-2025-022 “GLR REPOTENCIACIÓN DEL_x000a_ ALIMENTADOR VALENCIA ETAPA 1 TRAMO LA ESPERANZA HASTA EL SECCIONAMIENTO MARÍA_x000a_ FERNANDA, VÍA AL VERGEL GD”"/>
    <m/>
    <s v="VALENCIA"/>
    <s v="VALENCIA"/>
    <m/>
    <m/>
    <s v="09VA140T13"/>
    <s v="Extensiones de red"/>
    <n v="2"/>
    <d v="2026-06-06T00:00:00"/>
    <d v="1899-12-30T00:00:00"/>
    <d v="2026-06-06T00:00:00"/>
    <d v="1899-12-30T03:00:00"/>
    <n v="4500"/>
    <n v="0"/>
    <s v="MENOR IMPACTO EN MADRUGADA"/>
    <s v="ALIMENTADOR"/>
    <n v="4244"/>
    <n v="4244"/>
    <n v="6000"/>
    <n v="540"/>
  </r>
  <r>
    <n v="43"/>
    <x v="2"/>
    <s v="CORRECCION DE ANOMALIAS TERMICAS EN LA SUBESTACION EL ROSARIO"/>
    <m/>
    <s v="ROSARIO"/>
    <m/>
    <m/>
    <m/>
    <s v="09ER37"/>
    <s v="Trabajos Correctivos"/>
    <n v="2.5"/>
    <d v="2026-06-06T00:00:00"/>
    <d v="1899-12-30T03:00:00"/>
    <d v="2026-06-06T00:00:00"/>
    <d v="1899-12-30T06:00:00"/>
    <n v="2500"/>
    <n v="0"/>
    <s v="MENOR IMPACTO EN MADRUGADA"/>
    <s v="LST"/>
    <n v="4653"/>
    <n v="4653"/>
    <n v="7500"/>
    <n v="675"/>
  </r>
  <r>
    <n v="44"/>
    <x v="2"/>
    <s v="CORRECCION DE ANOMALIAS TERMICAS EN LA SUBESTACION MOCACHE"/>
    <m/>
    <s v="MOCACHE"/>
    <m/>
    <m/>
    <m/>
    <s v="09MC42"/>
    <s v="Trabajos Correctivos"/>
    <n v="4.5999999999999996"/>
    <d v="2026-06-06T00:00:00"/>
    <d v="1899-12-30T08:00:00"/>
    <d v="2026-06-06T00:00:00"/>
    <d v="1899-12-30T11:00:00"/>
    <n v="1350"/>
    <n v="0"/>
    <s v="PARA REALIZAR LOS TRABAJOS SE REQUIERE LA LUZ DEL DÍA DEBIDO A QUE NO SE CUENTA CON SUFICIENTE ILUMINACION PARA REALIZAR LOS TRABAJOS Y LA PELIGROSIDAD DE LA ZONA"/>
    <s v="SUBESTACIÓN"/>
    <n v="6291"/>
    <n v="6291"/>
    <n v="13800"/>
    <n v="1242"/>
  </r>
  <r>
    <n v="45"/>
    <x v="2"/>
    <s v="CORRECCION DE ANOMALIAS TERMICAS EN LA SUBESTACION QUEVEDO SUR"/>
    <m/>
    <s v="QUEVEDO SUR"/>
    <m/>
    <m/>
    <m/>
    <s v="09QS10"/>
    <s v="Trabajos Correctivos"/>
    <n v="20.5"/>
    <d v="2026-06-06T00:00:00"/>
    <d v="1899-12-30T03:00:00"/>
    <d v="2026-06-06T00:00:00"/>
    <d v="1899-12-30T06:00:00"/>
    <n v="1850"/>
    <n v="0"/>
    <s v="MENOR IMPACTO EN MADRUGADA"/>
    <s v="SUBESTACIÓN"/>
    <n v="29908"/>
    <n v="29908"/>
    <n v="61500"/>
    <n v="5535"/>
  </r>
  <r>
    <n v="46"/>
    <x v="2"/>
    <s v="CORRECCION DE ANOMALIAS TERMICAS EN LA SUBESTACION VALENCIA"/>
    <m/>
    <s v="VALENCIA"/>
    <m/>
    <m/>
    <m/>
    <s v="09VA14"/>
    <s v="Trabajos Correctivos"/>
    <n v="7.8"/>
    <d v="2026-06-06T00:00:00"/>
    <d v="1899-12-30T08:00:00"/>
    <d v="2026-06-06T00:00:00"/>
    <d v="1899-12-30T11:00:00"/>
    <n v="1350"/>
    <n v="0"/>
    <s v="PARA REALIZAR LOS TRABAJOS SE REQUIERE LA LUZ DEL DÍA DEBIDO A LA PELIGROSIDAD DE LA ZONA"/>
    <s v="SUBESTACIÓN"/>
    <n v="11667"/>
    <n v="11667"/>
    <n v="23400"/>
    <n v="2106"/>
  </r>
  <r>
    <n v="47"/>
    <x v="3"/>
    <s v="CAMBIO DE SECCIONADORES TIPO TANDEM DEL ALIMENTADOR PROGRESO EN MAL ESTADO, CAMBIO DE SECCIONADOR DEL TRANSFORAMDOR DE SERVICIOS AUXILIARES, CORRECCIÓN DE FUGA DE ACEITE EN TRANSFORMADOR DE POTENCIA, LLENADO DE GAS SF6 EN INTERRUPTOR PRINCIPAL DEL TRANSFORMADOR DE POTENCIA"/>
    <m/>
    <s v="BABA"/>
    <m/>
    <s v="LOS RIOS"/>
    <s v="BABA"/>
    <s v="10BA05"/>
    <s v="Trabajos Correctivos"/>
    <n v="4.5"/>
    <d v="2026-06-06T00:00:00"/>
    <d v="1899-12-30T03:00:00"/>
    <d v="2026-06-06T00:00:00"/>
    <d v="1899-12-30T06:00:00"/>
    <n v="10370.73"/>
    <n v="0"/>
    <s v="SE PLANTEA EL HORARIO MOSTRADO DEBIDO AL TOQUE DE QUEDA QUE CULMINA 05H00 Y LA SE BABA ESTA A 30 MINUTOS DE DISTANCIA DE DONDE SALE EL PERSONAL Y EL TRASLADO HACIA LA SE EN HORAS DE LA MADRUGADA ES ALTAMENTE PELIGROSO"/>
    <s v="SUBESTACIÓN"/>
    <n v="6545"/>
    <n v="10674"/>
    <n v="13500"/>
    <n v="1215"/>
  </r>
  <r>
    <n v="48"/>
    <x v="4"/>
    <s v="Cambio de poste, aisladores y desbroce"/>
    <m/>
    <s v="MANTA 4"/>
    <s v="No 42"/>
    <s v="MANABI"/>
    <s v="MANTA"/>
    <s v="11M4150T11"/>
    <s v="Trabajos Preventivos"/>
    <n v="3.8"/>
    <d v="2026-06-07T00:00:00"/>
    <d v="1899-12-30T03:00:00"/>
    <d v="2026-06-07T00:00:00"/>
    <d v="1899-12-30T06:00:00"/>
    <n v="4000"/>
    <n v="0"/>
    <s v="Horario de menora afectación"/>
    <s v="ALIMENTADOR"/>
    <n v="4273"/>
    <n v="4273"/>
    <n v="11400"/>
    <n v="1026"/>
  </r>
  <r>
    <n v="49"/>
    <x v="5"/>
    <s v="ANOMALÍAS TÉRMICAS EN CT DE BARRA,INTERRUPTOR Y SECCIONADOR DE BARRA 13,8kV, MONTAJE DE NUEVOS CT´S PARA MEDICIÓN Y PROTECCIÓN, REAJUSTE EN RECONECTADORES DE SALIDAS"/>
    <m/>
    <s v="CENTRAL DIESEL"/>
    <m/>
    <s v="GUAYAS"/>
    <s v="MILAGRO"/>
    <s v="12DI14"/>
    <s v="Trabajos Correctivos"/>
    <n v="12"/>
    <d v="2026-06-07T00:00:00"/>
    <d v="1899-12-30T02:00:00"/>
    <d v="2026-06-07T00:00:00"/>
    <d v="1899-12-30T05:00:00"/>
    <n v="3045.24"/>
    <n v="0"/>
    <m/>
    <s v="SUBESTACIÓN"/>
    <n v="9119"/>
    <n v="9119"/>
    <n v="36000"/>
    <n v="3240"/>
  </r>
  <r>
    <n v="50"/>
    <x v="5"/>
    <s v="ANOMALÍAS TÉRMICAS EN SECCIONADORES DE ENTRADA ALIMENTADORES,  CAMBIO DE HERRAJES EN EQUIPOS DE SUBESTACIÓN, CAMBIO DE SECCIONADORES QUE PRESENTAN PUNTOS CALIENTES."/>
    <m/>
    <s v="MONTERO"/>
    <m/>
    <s v="GUAYAS"/>
    <s v="YAGUACHI"/>
    <s v="12MO08"/>
    <s v="Trabajos Correctivos"/>
    <n v="7"/>
    <d v="2026-06-06T00:00:00"/>
    <d v="1899-12-30T02:00:00"/>
    <d v="2026-06-06T00:00:00"/>
    <d v="1899-12-30T05:00:00"/>
    <n v="5765.24"/>
    <n v="0"/>
    <m/>
    <s v="SUBESTACIÓN"/>
    <n v="11724"/>
    <n v="11724"/>
    <n v="21000"/>
    <n v="1890"/>
  </r>
  <r>
    <n v="51"/>
    <x v="6"/>
    <s v="MANTENIMIENTO PREVENTIVO DE LOS CUADROS DE 13.8KV Y 69KV EN LA S/E PAYAMINO"/>
    <m/>
    <s v="PAYAMINO"/>
    <m/>
    <s v="Orellana"/>
    <s v="Francisco de Orellana"/>
    <s v="20PY02"/>
    <s v="Trabajos Preventivos"/>
    <n v="13.59"/>
    <d v="2026-06-06T00:00:00"/>
    <d v="1899-12-30T03:00:00"/>
    <d v="2026-06-06T00:00:00"/>
    <d v="1899-12-30T06:00:00"/>
    <n v="1500"/>
    <n v="0"/>
    <m/>
    <s v="SUBESTACIÓN"/>
    <n v="27109"/>
    <n v="27109"/>
    <n v="40770"/>
    <n v="3669.2999999999997"/>
  </r>
  <r>
    <n v="52"/>
    <x v="3"/>
    <s v="MANTENIMIENTO AL TRANSFORMADOR DE POTENCIA, BARRAJE A 13,8KV Y CAMBIO DE INTERRUPTOR PRINCIPAL DE 13,8KV Y SECCIONAMIENTOS DE LOS ALIMENTADORES"/>
    <m/>
    <s v="CENTRO INDUSTRIAL"/>
    <m/>
    <s v="LOS RIOS"/>
    <s v="BABAHOYO, JUJAN"/>
    <s v="10CI01"/>
    <s v="Trabajos Correctivos"/>
    <n v="8.5"/>
    <d v="2026-06-07T00:00:00"/>
    <d v="1899-12-30T03:00:00"/>
    <d v="2026-06-07T00:00:00"/>
    <d v="1899-12-30T06:00:00"/>
    <n v="55048.43"/>
    <n v="0"/>
    <s v="SE PLANTEA EL HORARIO MOSTRADO DEBIDO AL TOQUE DE QUEDA QUE CULMINA 05H00"/>
    <s v="SUBESTACIÓN"/>
    <n v="5273"/>
    <n v="14892"/>
    <n v="25500"/>
    <n v="2295"/>
  </r>
  <r>
    <n v="53"/>
    <x v="4"/>
    <s v="Puesta en operación del T2 en subestacion Lodana, trabajos en subtransmision de cambio de cadenas de aisladores y correccion de puntos calientes"/>
    <s v="PORTOVIEJO CELEC L6 - LODANA"/>
    <s v="LODANA; CAZA LAGARTO; BELLAVISTA"/>
    <m/>
    <s v="MANABI"/>
    <s v="PORTOVIEJO"/>
    <s v="LST"/>
    <s v="Trabajos Preventivos"/>
    <n v="32"/>
    <d v="2026-06-06T00:00:00"/>
    <d v="1899-12-30T06:00:00"/>
    <d v="2026-06-06T00:00:00"/>
    <d v="1899-12-30T09:00:00"/>
    <n v="19234"/>
    <n v="0"/>
    <s v="Trabajos seran realizados en zona montañosa y de dificil acceso, por esta razon se requiere tener visibilidad en lostrabajos e ingreso a los puntos"/>
    <s v="LST"/>
    <n v="19764"/>
    <n v="19764"/>
    <n v="96000"/>
    <n v="8640"/>
  </r>
  <r>
    <n v="54"/>
    <x v="0"/>
    <s v="CAMBIO DE ESTRUCTURAS DE MEDIA TENSIÓN"/>
    <m/>
    <m/>
    <s v="03_03_Camaron"/>
    <s v="Bolívar"/>
    <s v="Echeandia"/>
    <s v="03EC030T14"/>
    <s v="Trabajos Preventivos"/>
    <n v="0.18"/>
    <d v="2026-06-06T00:00:00"/>
    <d v="1899-12-30T09:00:00"/>
    <d v="2026-06-06T00:00:00"/>
    <d v="1899-12-30T12:00:00"/>
    <n v="12159.84"/>
    <n v="0"/>
    <s v="Trabajos en área rural, se consideró horario de menor impacto"/>
    <s v="ALIMENTADOR"/>
    <n v="350"/>
    <m/>
    <n v="540"/>
    <n v="48.6"/>
  </r>
  <r>
    <n v="55"/>
    <x v="0"/>
    <s v="CAMBIO DE ESTRUCTURAS DE MEDIA TENSIÓN"/>
    <m/>
    <m/>
    <s v="03_02_Salinas"/>
    <s v="Bolívar"/>
    <s v="Guaranda"/>
    <s v="03GN020T12"/>
    <s v="Trabajos Preventivos"/>
    <n v="0.24"/>
    <d v="2026-06-06T00:00:00"/>
    <d v="1899-12-30T09:00:00"/>
    <d v="2026-06-06T00:00:00"/>
    <d v="1899-12-30T12:00:00"/>
    <n v="10200"/>
    <n v="0"/>
    <s v="Trabajos en área rural, se consideró horario de menor impacto"/>
    <s v="ALIMENTADOR"/>
    <n v="1351"/>
    <m/>
    <n v="720"/>
    <n v="64.8"/>
  </r>
  <r>
    <n v="56"/>
    <x v="0"/>
    <s v="CAMBIO DE ESTRUCTURAS DE MEDIA TENSIÓN"/>
    <m/>
    <m/>
    <s v="03_02_Simiatug"/>
    <s v="Bolívar"/>
    <s v="Simiatug"/>
    <s v="03GN020T15"/>
    <s v="Trabajos Preventivos"/>
    <n v="0.64"/>
    <d v="2026-06-07T00:00:00"/>
    <d v="1899-12-30T09:00:00"/>
    <d v="2026-06-07T00:00:00"/>
    <d v="1899-12-30T12:00:00"/>
    <n v="15350"/>
    <n v="0"/>
    <s v="Trabajos en área rural, se consideró horario de menor impacto"/>
    <s v="ALIMENTADOR"/>
    <n v="2600"/>
    <m/>
    <n v="1920"/>
    <n v="172.79999999999998"/>
  </r>
  <r>
    <n v="57"/>
    <x v="0"/>
    <s v="DIVISIÓN DE CIRCUITOS EN MEDIA TENSIÓN"/>
    <m/>
    <m/>
    <s v="03_06_Chillanes"/>
    <s v="Bolívar"/>
    <s v="Chillanes"/>
    <s v="03SI060T11"/>
    <s v="Trabajos Correctivos"/>
    <n v="8.5000000000000006E-2"/>
    <d v="2026-05-30T00:00:00"/>
    <d v="1899-12-30T10:00:00"/>
    <d v="2026-05-30T00:00:00"/>
    <d v="1899-12-30T12:00:00"/>
    <n v="3048.56"/>
    <n v="0"/>
    <s v="Trabajos en área rural, se consideró horario de menor impacto"/>
    <s v="ALIMENTADOR"/>
    <n v="120"/>
    <m/>
    <n v="169.99999999999997"/>
    <n v="15.299999999999997"/>
  </r>
  <r>
    <n v="58"/>
    <x v="0"/>
    <s v="INCORPORACION DE RED DE MEDIA TENSIÓN"/>
    <m/>
    <m/>
    <s v="03_06_San Pablo"/>
    <s v="Bolívar"/>
    <s v="San Miguel"/>
    <s v="03SI060T12"/>
    <s v="Trabajos Correctivos"/>
    <n v="0.2"/>
    <d v="2026-05-30T00:00:00"/>
    <d v="1899-12-30T09:00:00"/>
    <d v="2026-05-30T00:00:00"/>
    <d v="1899-12-30T12:00:00"/>
    <n v="2360.7800000000002"/>
    <n v="0"/>
    <s v="Trabajos en área rural, se consideró horario de menor impacto"/>
    <s v="ALIMENTADOR"/>
    <n v="600"/>
    <m/>
    <n v="600"/>
    <n v="54"/>
  </r>
  <r>
    <n v="59"/>
    <x v="0"/>
    <s v="MONTAJE DE TRANSFORMADOR TRIFASICO Y TENDIDO DE RED PARA CENTRO DE RAYOS X"/>
    <m/>
    <m/>
    <s v="03_02_Guanujo"/>
    <s v="Bolívar"/>
    <s v="Guaranda"/>
    <s v="03GN020T13"/>
    <s v="Ingreso nuevas cargas"/>
    <n v="0.4"/>
    <d v="2026-05-31T00:00:00"/>
    <d v="1899-12-30T03:00:00"/>
    <d v="2026-05-31T00:00:00"/>
    <d v="1899-12-30T06:00:00"/>
    <n v="20000"/>
    <n v="0"/>
    <m/>
    <s v="ALIMENTADOR"/>
    <n v="930"/>
    <m/>
    <n v="1200"/>
    <n v="108"/>
  </r>
  <r>
    <n v="60"/>
    <x v="3"/>
    <s v="ALIMENTADOR CATARAMA, DERIVACIÓN MONOFÁSICA HACIA SECTOR LOS SAUCES, CAMBIO Y REUBICACIÓN DE POSTES EN RED DE MEDIA Y BAJA TENSIÓN, MIGRACIÓN DE RED DESNUDA A TIPO PRENSAMBLADA EN BAJA TENSIÓN, CAMBIO DE AISLAMIENTO"/>
    <m/>
    <m/>
    <s v="CATARAMA"/>
    <s v="LOS RIOS"/>
    <s v="URDANETA"/>
    <s v="10PU070T12"/>
    <s v="Trabajos Preventivos"/>
    <n v="0.2"/>
    <d v="2026-06-06T00:00:00"/>
    <d v="1899-12-30T09:00:00"/>
    <d v="2026-06-06T00:00:00"/>
    <d v="1899-12-30T12:00:00"/>
    <n v="7600"/>
    <n v="0"/>
    <s v="SECTOR DE DIFICIL ACCESO, ZONA PELIGROSA."/>
    <s v="ALIMENTADOR"/>
    <n v="510"/>
    <n v="510"/>
    <n v="600"/>
    <n v="54"/>
  </r>
  <r>
    <n v="61"/>
    <x v="3"/>
    <s v="ALIMENTADOR TRIFASICO PUEBLOVIEJO CAMBIO DE ESTRUCTURAS Y AISLAMIENTO DESDE ESTERO HONDO HACIA PUERTO PECHICHE,"/>
    <m/>
    <m/>
    <s v="PUEBLOVIEJO"/>
    <s v="LOS RIOS"/>
    <s v="PUEBLOVIEJO"/>
    <s v="10PU070T11"/>
    <s v="Trabajos Preventivos"/>
    <n v="1"/>
    <d v="2026-05-30T00:00:00"/>
    <d v="1899-12-30T07:00:00"/>
    <d v="2026-05-30T00:00:00"/>
    <d v="1899-12-30T10:00:00"/>
    <n v="8700"/>
    <n v="1700"/>
    <s v="SECTOR DE DIFICIL ACCESO, ZONA PELIGROSA."/>
    <s v="ALIMENTADOR"/>
    <n v="1563"/>
    <n v="1563"/>
    <n v="3000"/>
    <n v="270"/>
  </r>
  <r>
    <n v="62"/>
    <x v="3"/>
    <s v="CAMBIO DE AISLADORES,ESTRUCTURAS Y POSTES"/>
    <m/>
    <m/>
    <s v="PUEBLONUEVO"/>
    <s v="LOS RIOS"/>
    <s v="PUEBLOVIEJO"/>
    <s v="10CI010T13"/>
    <s v="Trabajos Preventivos"/>
    <n v="0.6"/>
    <d v="2026-06-06T00:00:00"/>
    <d v="1899-12-30T07:00:00"/>
    <d v="2026-06-06T00:00:00"/>
    <d v="1899-12-30T10:00:00"/>
    <n v="3000"/>
    <n v="0"/>
    <s v="TRABAJO EN SECTOR RURAL ZONA PELIGROSA"/>
    <s v="ALIMENTADOR"/>
    <n v="2909"/>
    <n v="2909"/>
    <n v="1800"/>
    <n v="162"/>
  </r>
  <r>
    <n v="63"/>
    <x v="3"/>
    <s v="CAMBIO DE BAJANTES DE PREEMSAMBLADO E INSTALACION DE PUESTA TIERRA"/>
    <m/>
    <m/>
    <s v="VENTANAS CENTRO"/>
    <s v="LOS RIOS"/>
    <s v="VENTANAS"/>
    <s v="10VE090T12"/>
    <s v="Trabajos Preventivos"/>
    <n v="0.05"/>
    <d v="2026-05-30T00:00:00"/>
    <d v="1899-12-30T08:00:00"/>
    <d v="2026-05-30T00:00:00"/>
    <d v="1899-12-30T09:30:00"/>
    <n v="250"/>
    <n v="0"/>
    <s v="EL EQUIPO A INTERVENIR ESTA EN SU DEMANDA BAJA"/>
    <s v="ALIMENTADOR"/>
    <n v="31"/>
    <n v="31"/>
    <n v="75"/>
    <n v="6.75"/>
  </r>
  <r>
    <n v="64"/>
    <x v="3"/>
    <s v="CAMBIO DE BAJANTES DE PREEMSAMBLADO E INSTALACION DE PUESTA TIERRA"/>
    <m/>
    <m/>
    <s v="VENTANAS CENTRO"/>
    <s v="LOS RIOS"/>
    <s v="VENTANAS"/>
    <s v="10VE090T12"/>
    <s v="Trabajos Preventivos"/>
    <n v="0.05"/>
    <d v="2026-05-30T00:00:00"/>
    <d v="1899-12-30T11:00:00"/>
    <d v="2026-05-30T00:00:00"/>
    <d v="1899-12-30T12:30:00"/>
    <n v="250"/>
    <n v="0"/>
    <s v="EL EQUIPO A INTERVENIR ESTA EN SU DEMANDA BAJA"/>
    <s v="ALIMENTADOR"/>
    <n v="63"/>
    <n v="63"/>
    <n v="75.000000000000071"/>
    <n v="6.7500000000000062"/>
  </r>
  <r>
    <n v="65"/>
    <x v="3"/>
    <s v="CAMBIO DE BAJANTES DE PREEMSAMBLADO E INSTALACION DE PUESTA TIERRA"/>
    <m/>
    <m/>
    <s v="VENTANAS CENTRO"/>
    <s v="LOS RIOS"/>
    <s v="VENTANAS"/>
    <s v="10VE090T12"/>
    <s v="Trabajos Preventivos"/>
    <n v="0.05"/>
    <d v="2026-05-30T00:00:00"/>
    <d v="1899-12-30T14:00:00"/>
    <d v="2026-05-30T00:00:00"/>
    <d v="1899-12-30T15:30:00"/>
    <n v="250"/>
    <n v="0"/>
    <s v="EL EQUIPO A INTERVENIR ESTA EN SU DEMANDA BAJA"/>
    <s v="ALIMENTADOR"/>
    <n v="1"/>
    <n v="1"/>
    <n v="75"/>
    <n v="6.75"/>
  </r>
  <r>
    <n v="66"/>
    <x v="3"/>
    <s v="CAMBIO DE BAJANTES DE PREEMSAMBLADO E INSTALACION DE PUESTA TIERRA"/>
    <m/>
    <m/>
    <s v="VENTANAS CENTRO"/>
    <s v="LOS RIOS"/>
    <s v="VENTANAS"/>
    <s v="10VE090T12"/>
    <s v="Trabajos Preventivos"/>
    <n v="0.05"/>
    <d v="2026-05-30T00:00:00"/>
    <d v="1899-12-30T15:30:00"/>
    <d v="2026-05-30T00:00:00"/>
    <d v="1899-12-30T17:00:00"/>
    <n v="250"/>
    <n v="0"/>
    <s v="EL EQUIPO A INTERVENIR ESTA EN SU DEMANDA BAJA"/>
    <s v="ALIMENTADOR"/>
    <n v="24"/>
    <n v="24"/>
    <n v="75"/>
    <n v="6.75"/>
  </r>
  <r>
    <n v="67"/>
    <x v="3"/>
    <s v="CAMBIO DE BAJANTES DE PREEMSAMBLADO E INSTALACION DE PUESTA TIERRA"/>
    <m/>
    <m/>
    <s v="VENTANAS CENTRO"/>
    <s v="LOS RIOS"/>
    <s v="VENTANAS"/>
    <s v="10VE090T12"/>
    <s v="Trabajos Preventivos"/>
    <n v="0.05"/>
    <d v="2026-06-07T00:00:00"/>
    <d v="1899-12-30T11:00:00"/>
    <d v="2026-06-07T00:00:00"/>
    <d v="1899-12-30T12:30:00"/>
    <n v="250"/>
    <n v="0"/>
    <s v="EL EQUIPO A INTERVENIR ESTA EN SU DEMANDA BAJA"/>
    <s v="ALIMENTADOR"/>
    <n v="30"/>
    <n v="30"/>
    <n v="75.000000000000071"/>
    <n v="6.7500000000000062"/>
  </r>
  <r>
    <n v="68"/>
    <x v="3"/>
    <s v="CAMBIO DE BAJANTES DE PREEMSAMBLADO E INSTALACION DE PUESTA TIERRA"/>
    <m/>
    <m/>
    <s v="VENTANAS SUR"/>
    <s v="LOS RIOS"/>
    <s v="VENTANAS"/>
    <s v="10VE090T11"/>
    <s v="Trabajos Preventivos"/>
    <n v="0.05"/>
    <d v="2026-06-07T00:00:00"/>
    <d v="1899-12-30T15:30:00"/>
    <d v="2026-06-07T00:00:00"/>
    <d v="1899-12-30T17:00:00"/>
    <n v="250"/>
    <n v="0"/>
    <s v="EL EQUIPO A INTERVENIR ESTA EN SU DEMANDA BAJA"/>
    <s v="ALIMENTADOR"/>
    <n v="130"/>
    <n v="130"/>
    <n v="75"/>
    <n v="6.75"/>
  </r>
  <r>
    <n v="69"/>
    <x v="3"/>
    <s v="CAMBIO DE ESTRUCTURAS Y AISLAMIENTO EN ALIM. ZAPOTAL"/>
    <m/>
    <m/>
    <s v="ZAPOTAL"/>
    <s v="LOS RIOS"/>
    <s v="VENTANAS"/>
    <s v="10ER100T12"/>
    <s v="Trabajos Preventivos"/>
    <n v="1.5"/>
    <d v="2026-06-06T00:00:00"/>
    <d v="1899-12-30T09:00:00"/>
    <d v="2026-06-06T00:00:00"/>
    <d v="1899-12-30T12:00:00"/>
    <n v="16134.49"/>
    <n v="2063.54"/>
    <s v="DIA Y HORARIO DE BAJA DEMANDA SEGÚN EL HISTORICO DE CARGABILIDAD Y BUEN HORARIO PARA TRANFERIR CARGA CON ALIM. LECHUGAL"/>
    <s v="ALIMENTADOR"/>
    <n v="41"/>
    <n v="41"/>
    <n v="4500"/>
    <n v="405"/>
  </r>
  <r>
    <n v="70"/>
    <x v="3"/>
    <s v="CAMBIO DE RED CONVENCIONAL A RED PREENSAMBLADA EN CIRCUITO DE RED DE BAJA TENSION, QUINSALOMA, AV. 3 DE MAYO Y CALLE SIMON BOLIVAR"/>
    <m/>
    <m/>
    <s v="QUINSALOMA"/>
    <s v="LOS RIOS"/>
    <s v="QUINSALOMA"/>
    <s v="10ER100T13"/>
    <s v="Trabajos Preventivos"/>
    <n v="0.05"/>
    <d v="2026-05-30T00:00:00"/>
    <d v="1899-12-30T14:00:00"/>
    <d v="2026-05-30T00:00:00"/>
    <d v="1899-12-30T17:00:00"/>
    <n v="3854.48"/>
    <n v="0"/>
    <s v="MENOS DEMANDA EN EL HORARIO PLANIFICADO (DESCONEXION DE UN SOLO TRANSFORMADOR)"/>
    <s v="ALIMENTADOR"/>
    <n v="64"/>
    <n v="64"/>
    <n v="150"/>
    <n v="13.5"/>
  </r>
  <r>
    <n v="71"/>
    <x v="3"/>
    <s v="INSTALACION DE ESTRIBO, PUESTA TIERRA Y CAMBIO DE BAJANTES DE PREEMSAMBLADO POR ESTAR EN MAL ESTADO"/>
    <m/>
    <m/>
    <s v="VENTANAS CENTRO"/>
    <s v="LOS RIOS"/>
    <s v="VENTANAS"/>
    <s v="10VE090T12"/>
    <s v="Trabajos Preventivos"/>
    <n v="0.05"/>
    <d v="2026-05-30T00:00:00"/>
    <d v="1899-12-30T09:30:00"/>
    <d v="2026-05-30T00:00:00"/>
    <d v="1899-12-30T11:00:00"/>
    <n v="250"/>
    <n v="0"/>
    <s v="EL EQUIPO A INTERVENIR ESTA EN SU DEMANDA BAJA"/>
    <s v="ALIMENTADOR"/>
    <n v="64"/>
    <n v="64"/>
    <n v="75"/>
    <n v="6.75"/>
  </r>
  <r>
    <n v="72"/>
    <x v="3"/>
    <s v="INSTALACION DE ESTRIBO, PUESTA TIERRA Y CAMBIO DE BAJANTES DE PREEMSAMBLADO."/>
    <m/>
    <m/>
    <s v="VENTANAS CENTRO"/>
    <s v="LOS RIOS"/>
    <s v="VENTANAS"/>
    <s v="10VE090T12"/>
    <s v="Trabajos Preventivos"/>
    <n v="0.05"/>
    <d v="2026-06-07T00:00:00"/>
    <d v="1899-12-30T12:30:00"/>
    <d v="2026-06-07T00:00:00"/>
    <d v="1899-12-30T14:00:00"/>
    <n v="250"/>
    <n v="0"/>
    <s v="EL EQUIPO A INTERVENIR ESTA EN SU DEMANDA BAJA"/>
    <s v="ALIMENTADOR"/>
    <n v="45"/>
    <n v="45"/>
    <n v="75"/>
    <n v="6.75"/>
  </r>
  <r>
    <n v="73"/>
    <x v="3"/>
    <s v="INSTALACION DE PUESTA TIERRA"/>
    <m/>
    <m/>
    <s v="VENTANAS SUR"/>
    <s v="LOS RIOS"/>
    <s v="VENTANAS"/>
    <s v="10VE090T11"/>
    <s v="Trabajos Preventivos"/>
    <n v="0.05"/>
    <d v="2026-06-07T00:00:00"/>
    <d v="1899-12-30T09:30:00"/>
    <d v="2026-06-07T00:00:00"/>
    <d v="1899-12-30T11:00:00"/>
    <n v="100"/>
    <n v="0"/>
    <s v="EL EQUIPO A INTERVENIR ESTA EN SU DEMANDA BAJA"/>
    <s v="ALIMENTADOR"/>
    <n v="32"/>
    <n v="32"/>
    <n v="75"/>
    <n v="6.75"/>
  </r>
  <r>
    <n v="74"/>
    <x v="3"/>
    <s v="INSTALACION DE PUESTA TIERRA Y CAMBIO DE BAJANTES DE COBRE POR MAL ESTADO"/>
    <m/>
    <m/>
    <s v="VENTANAS SUR"/>
    <s v="LOS RIOS"/>
    <s v="VENTANAS"/>
    <s v="10VE090T11"/>
    <s v="Trabajos Preventivos"/>
    <n v="0.05"/>
    <d v="2026-06-07T00:00:00"/>
    <d v="1899-12-30T08:00:00"/>
    <d v="2026-06-07T00:00:00"/>
    <d v="1899-12-30T09:30:00"/>
    <n v="250"/>
    <n v="0"/>
    <s v="EL EQUIPO A INTERVENIR ESTA EN SU DEMANDA BAJA"/>
    <s v="ALIMENTADOR"/>
    <n v="14"/>
    <n v="14"/>
    <n v="75"/>
    <n v="6.75"/>
  </r>
  <r>
    <n v="75"/>
    <x v="3"/>
    <s v="INSTALACION DE PUESTA TIERRA Y SECCIONADOR"/>
    <m/>
    <m/>
    <s v="VENTANAS SUR"/>
    <s v="LOS RIOS"/>
    <s v="VENTANAS"/>
    <s v="10VE090T11"/>
    <s v="Trabajos Preventivos"/>
    <n v="0.05"/>
    <d v="2026-06-06T00:00:00"/>
    <d v="1899-12-30T09:30:00"/>
    <d v="2026-06-06T00:00:00"/>
    <d v="1899-12-30T11:00:00"/>
    <n v="80"/>
    <n v="0"/>
    <s v="EL EQUIPO A INTERVENIR ESTA EN SU DEMANDA BAJA"/>
    <s v="ALIMENTADOR"/>
    <n v="87"/>
    <n v="87"/>
    <n v="75"/>
    <n v="6.75"/>
  </r>
  <r>
    <n v="76"/>
    <x v="3"/>
    <s v="INSTALACION DE PUESTA TIERRA Y SECCIONADOR"/>
    <m/>
    <m/>
    <s v="VENTANAS SUR"/>
    <s v="LOS RIOS"/>
    <s v="VENTANAS"/>
    <s v="10VE090T11"/>
    <s v="Trabajos Preventivos"/>
    <n v="0.05"/>
    <d v="2026-06-06T00:00:00"/>
    <d v="1899-12-30T11:00:00"/>
    <d v="2026-06-06T00:00:00"/>
    <d v="1899-12-30T12:30:00"/>
    <n v="80"/>
    <n v="0"/>
    <s v="EL EQUIPO A INTERVENIR ESTA EN SU DEMANDA BAJA"/>
    <s v="ALIMENTADOR"/>
    <n v="25"/>
    <n v="25"/>
    <n v="75.000000000000071"/>
    <n v="6.7500000000000062"/>
  </r>
  <r>
    <n v="77"/>
    <x v="3"/>
    <s v="INSTALACION DE SECCIONADOR, ESTRIBO, PUESTA TIERRA Y CAMBIO DE BAJANTES DE COBRE POR MAL ESTADO"/>
    <m/>
    <m/>
    <s v="VENTANAS SUR"/>
    <s v="LOS RIOS"/>
    <s v="VENTANAS"/>
    <s v="10VE090T11"/>
    <s v="Trabajos Preventivos"/>
    <n v="0.05"/>
    <d v="2026-06-07T00:00:00"/>
    <d v="1899-12-30T14:00:00"/>
    <d v="2026-06-07T00:00:00"/>
    <d v="1899-12-30T15:30:00"/>
    <n v="250"/>
    <n v="0"/>
    <s v="EL EQUIPO A INTERVENIR ESTA EN SU DEMANDA BAJA"/>
    <s v="ALIMENTADOR"/>
    <n v="97"/>
    <n v="97"/>
    <n v="75"/>
    <n v="6.75"/>
  </r>
  <r>
    <n v="78"/>
    <x v="3"/>
    <s v="INSTALACION DE SECCIONADOR, PUESTA TIERRA Y CAMBIO DE BAJANTES DE PREEMSAMBLADO POR ESTAR EN MAL ESTADO"/>
    <m/>
    <m/>
    <s v="VENTANAS CENTRO"/>
    <s v="LOS RIOS"/>
    <s v="VENTANAS"/>
    <s v="10VE090T12"/>
    <s v="Trabajos Preventivos"/>
    <n v="0.05"/>
    <d v="2026-05-30T00:00:00"/>
    <d v="1899-12-30T12:30:00"/>
    <d v="2026-05-30T00:00:00"/>
    <d v="1899-12-30T14:00:00"/>
    <n v="250"/>
    <n v="0"/>
    <s v="EL EQUIPO A INTERVENIR ESTA EN SU DEMANDA BAJA"/>
    <s v="ALIMENTADOR"/>
    <n v="24"/>
    <n v="24"/>
    <n v="75"/>
    <n v="6.75"/>
  </r>
  <r>
    <n v="79"/>
    <x v="3"/>
    <s v="INSTALACION DE SECCIONADOR, PUESTA TIERRA Y CAMBIO DE BAJANTES DE PREEMSAMBLADO."/>
    <m/>
    <m/>
    <s v="VENTANAS SUR"/>
    <s v="LOS RIOS"/>
    <s v="VENTANAS"/>
    <s v="10VE090T11"/>
    <s v="Trabajos Preventivos"/>
    <n v="0.05"/>
    <d v="2026-06-06T00:00:00"/>
    <d v="1899-12-30T14:00:00"/>
    <d v="2026-06-06T00:00:00"/>
    <d v="1899-12-30T15:30:00"/>
    <n v="250"/>
    <n v="0"/>
    <s v="EL EQUIPO A INTERVENIR ESTA EN SU DEMANDA BAJA"/>
    <s v="ALIMENTADOR"/>
    <n v="24"/>
    <n v="24"/>
    <n v="75"/>
    <n v="6.75"/>
  </r>
  <r>
    <n v="80"/>
    <x v="3"/>
    <s v="SE DEBE REALIZAR EL CAMBIO DE LA BAJANTES DE COBRE POR MAL ESTADO"/>
    <m/>
    <m/>
    <s v="VENTANAS SUR"/>
    <s v="LOS RIOS"/>
    <s v="VENTANAS"/>
    <s v="10VE090T11"/>
    <s v="Trabajos Preventivos"/>
    <n v="0.05"/>
    <d v="2026-06-06T00:00:00"/>
    <d v="1899-12-30T08:00:00"/>
    <d v="2026-06-06T00:00:00"/>
    <d v="1899-12-30T09:30:00"/>
    <n v="200"/>
    <n v="0"/>
    <s v="EL EQUIPO A INTERVENIR ESTA EN SU DEMANDA BAJA"/>
    <s v="ALIMENTADOR"/>
    <n v="72"/>
    <n v="72"/>
    <n v="75"/>
    <n v="6.75"/>
  </r>
  <r>
    <n v="81"/>
    <x v="3"/>
    <s v="SE DEBE REALIZAR EL CAMBIO DE LA BAJANTES DE COBRE POR MAL ESTADO"/>
    <m/>
    <m/>
    <s v="VENTANAS SUR"/>
    <s v="LOS RIOS"/>
    <s v="VENTANAS"/>
    <s v="10VE090T11"/>
    <s v="Trabajos Preventivos"/>
    <n v="0.05"/>
    <d v="2026-06-06T00:00:00"/>
    <d v="1899-12-30T15:30:00"/>
    <d v="2026-06-06T00:00:00"/>
    <d v="1899-12-30T17:00:00"/>
    <n v="250"/>
    <n v="0"/>
    <s v="EL EQUIPO A INTERVENIR ESTA EN SU DEMANDA BAJA"/>
    <s v="ALIMENTADOR"/>
    <n v="26"/>
    <n v="26"/>
    <n v="75"/>
    <n v="6.75"/>
  </r>
  <r>
    <n v="82"/>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0T00:00:00"/>
    <d v="1899-12-30T14:00:00"/>
    <d v="2026-05-30T00:00:00"/>
    <d v="1899-12-30T17:00:00"/>
    <n v="290410.31"/>
    <n v="0"/>
    <s v="HORARIO DE MENOR IMPACTO HACIA LOS USUARIOS POR DESLASTRE DE CARGA EN DEMANDA MINIMA"/>
    <s v="ALIMENTADOR"/>
    <n v="1285"/>
    <n v="1285"/>
    <n v="1800"/>
    <n v="162"/>
  </r>
  <r>
    <n v="83"/>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1T00:00:00"/>
    <d v="1899-12-30T14:00:00"/>
    <d v="2026-05-31T00:00:00"/>
    <d v="1899-12-30T17:00:00"/>
    <n v="290410.31"/>
    <n v="0"/>
    <s v="HORARIO DE MENOR IMPACTO HACIA LOS USUARIOS POR DESLASTRE DE CARGA EN DEMANDA MINIMA"/>
    <s v="ALIMENTADOR"/>
    <n v="1285"/>
    <n v="1285"/>
    <n v="1800"/>
    <n v="162"/>
  </r>
  <r>
    <n v="84"/>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6T00:00:00"/>
    <d v="1899-12-30T14:00:00"/>
    <d v="2026-06-06T00:00:00"/>
    <d v="1899-12-30T17:00:00"/>
    <n v="290410.31"/>
    <n v="0"/>
    <s v="HORARIO DE MENOR IMPACTO HACIA LOS USUARIOS POR DESLASTRE DE CARGA EN DEMANDA MINIMA"/>
    <s v="ALIMENTADOR"/>
    <n v="1623"/>
    <n v="1623"/>
    <n v="3600"/>
    <n v="324"/>
  </r>
  <r>
    <n v="85"/>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7T00:00:00"/>
    <d v="1899-12-30T14:00:00"/>
    <d v="2026-06-07T00:00:00"/>
    <d v="1899-12-30T17:00:00"/>
    <n v="290410.31"/>
    <n v="0"/>
    <s v="HORARIO DE MENOR IMPACTO HACIA LOS USUARIOS POR DESLASTRE DE CARGA EN DEMANDA MINIMA"/>
    <s v="ALIMENTADOR"/>
    <n v="1623"/>
    <n v="1623"/>
    <n v="3600"/>
    <n v="324"/>
  </r>
  <r>
    <n v="86"/>
    <x v="8"/>
    <s v="Mantenimiento a cuarto eléctrico"/>
    <m/>
    <m/>
    <s v="04_06_Centro Park"/>
    <s v="GUAYAS"/>
    <s v="Guayaquil"/>
    <s v="04AY060T14"/>
    <s v="Trabajos Preventivos"/>
    <n v="0.25"/>
    <d v="2026-05-31T00:00:00"/>
    <d v="1899-12-30T02:00:00"/>
    <d v="2026-05-31T00:00:00"/>
    <d v="1899-12-30T05:00:00"/>
    <n v="5200"/>
    <n v="22699.16"/>
    <s v="HORARIO DE MENOR IMPACTO HACIA LOS USUARIOS POR DESLASTRE DE CARGA EN DEMANDA MINIMA"/>
    <s v="ALIMENTADOR"/>
    <n v="150"/>
    <n v="309"/>
    <n v="750"/>
    <n v="67.5"/>
  </r>
  <r>
    <n v="87"/>
    <x v="8"/>
    <s v="Mantenimiento a cuarto eléctrico"/>
    <m/>
    <m/>
    <s v="04_09_Malecon"/>
    <s v="GUAYAS"/>
    <s v="Guayaquil"/>
    <s v="04BO090T12"/>
    <s v="Trabajos Preventivos"/>
    <n v="0.16700000000000001"/>
    <d v="2026-05-31T00:00:00"/>
    <d v="1899-12-30T02:00:00"/>
    <d v="2026-05-31T00:00:00"/>
    <d v="1899-12-30T05:00:00"/>
    <n v="5100"/>
    <n v="22699.16"/>
    <s v="HORARIO DE MENOR IMPACTO HACIA LOS USUARIOS POR DESLASTRE DE CARGA EN DEMANDA MINIMA"/>
    <s v="ALIMENTADOR"/>
    <n v="150"/>
    <n v="659"/>
    <n v="501"/>
    <n v="45.089999999999996"/>
  </r>
  <r>
    <n v="88"/>
    <x v="8"/>
    <s v="Mantenimiento a cuarto eléctrico"/>
    <m/>
    <m/>
    <s v="04_09_Rocafuerte"/>
    <s v="GUAYAS"/>
    <s v="Guayaquil"/>
    <s v="04BO090T24"/>
    <s v="Trabajos Preventivos"/>
    <n v="0.16700000000000001"/>
    <d v="2026-05-31T00:00:00"/>
    <d v="1899-12-30T02:00:00"/>
    <d v="2026-05-31T00:00:00"/>
    <d v="1899-12-30T05:00:00"/>
    <n v="4950"/>
    <n v="22699.16"/>
    <s v="HORARIO DE MENOR IMPACTO HACIA LOS USUARIOS POR DESLASTRE DE CARGA EN DEMANDA MINIMA"/>
    <s v="ALIMENTADOR"/>
    <n v="150"/>
    <n v="518"/>
    <n v="501"/>
    <n v="45.089999999999996"/>
  </r>
  <r>
    <n v="89"/>
    <x v="5"/>
    <s v="ANOMALÍAS TÉRMICAS EN ENTRADA Y SALIDA DEL SECCIONADOR DEL ALIMENTADOR LORENZO DE GARAICOA, SALIDA MATA DE CACAO"/>
    <m/>
    <s v="LORENZO DE GARAICOA"/>
    <m/>
    <s v="GUAYAS"/>
    <s v="Simón Bolivar"/>
    <s v="12LG02"/>
    <s v="Trabajos Correctivos"/>
    <n v="3"/>
    <d v="2026-06-06T00:00:00"/>
    <d v="1899-12-30T06:00:00"/>
    <d v="2026-06-06T00:00:00"/>
    <d v="1899-12-30T08:30:00"/>
    <n v="3665.24"/>
    <n v="0"/>
    <s v="SECTORES RURALES ALEJADOS DE LA CIUDAD, ZONA PELIGROSA"/>
    <s v="SUBESTACIÓN"/>
    <n v="11009"/>
    <n v="11009"/>
    <n v="7500.0000000000009"/>
    <n v="675.00000000000011"/>
  </r>
  <r>
    <n v="90"/>
    <x v="1"/>
    <s v="CONEXIÓN DE BANCO DE CAPACITORES"/>
    <m/>
    <m/>
    <s v="RIO BONITO"/>
    <s v="EL ORO"/>
    <s v="EL GUABO"/>
    <s v="07PA120T13"/>
    <s v="Trabajos Preventivos"/>
    <n v="0.3"/>
    <d v="2026-06-07T00:00:00"/>
    <d v="1899-12-30T08:00:00"/>
    <d v="2026-06-07T00:00:00"/>
    <d v="1899-12-30T11:00:00"/>
    <n v="2345"/>
    <n v="0"/>
    <s v="Zona rural"/>
    <s v="ALIMENTADOR"/>
    <n v="932"/>
    <n v="932"/>
    <n v="900"/>
    <n v="81"/>
  </r>
  <r>
    <n v="91"/>
    <x v="1"/>
    <s v="CONEXIÓN DE BANCO DE CAPACITORES"/>
    <m/>
    <m/>
    <s v="SABANA DE PAGUA"/>
    <s v="EL ORO"/>
    <s v="EL GUABO"/>
    <s v="07PA120T22"/>
    <s v="Trabajos Preventivos"/>
    <n v="0.4"/>
    <d v="2026-06-07T00:00:00"/>
    <d v="1899-12-30T08:00:00"/>
    <d v="2026-06-07T00:00:00"/>
    <d v="1899-12-30T11:00:00"/>
    <n v="500"/>
    <n v="0"/>
    <s v="Zona rural"/>
    <s v="ALIMENTADOR"/>
    <n v="356"/>
    <n v="356"/>
    <n v="1200"/>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F13" firstHeaderRow="0" firstDataRow="1" firstDataCol="1"/>
  <pivotFields count="23">
    <pivotField showAll="0"/>
    <pivotField axis="axisRow" showAll="0">
      <items count="10">
        <item x="0"/>
        <item x="1"/>
        <item x="7"/>
        <item x="8"/>
        <item x="2"/>
        <item x="3"/>
        <item x="4"/>
        <item x="5"/>
        <item x="6"/>
        <item t="default"/>
      </items>
    </pivotField>
    <pivotField dataField="1" showAll="0"/>
    <pivotField showAll="0"/>
    <pivotField showAll="0"/>
    <pivotField showAll="0"/>
    <pivotField showAll="0"/>
    <pivotField showAll="0"/>
    <pivotField showAll="0"/>
    <pivotField showAll="0"/>
    <pivotField showAll="0"/>
    <pivotField numFmtId="164" showAll="0"/>
    <pivotField numFmtId="20" showAll="0"/>
    <pivotField numFmtId="164" showAll="0"/>
    <pivotField numFmtId="20" showAll="0"/>
    <pivotField dataField="1" numFmtId="44" showAll="0"/>
    <pivotField showAll="0"/>
    <pivotField showAll="0"/>
    <pivotField showAll="0"/>
    <pivotField dataField="1" showAll="0"/>
    <pivotField showAll="0"/>
    <pivotField dataField="1" showAll="0"/>
    <pivotField dataField="1" numFmtId="165" showAll="0"/>
  </pivotFields>
  <rowFields count="1">
    <field x="1"/>
  </rowFields>
  <rowItems count="10">
    <i>
      <x/>
    </i>
    <i>
      <x v="1"/>
    </i>
    <i>
      <x v="2"/>
    </i>
    <i>
      <x v="3"/>
    </i>
    <i>
      <x v="4"/>
    </i>
    <i>
      <x v="5"/>
    </i>
    <i>
      <x v="6"/>
    </i>
    <i>
      <x v="7"/>
    </i>
    <i>
      <x v="8"/>
    </i>
    <i t="grand">
      <x/>
    </i>
  </rowItems>
  <colFields count="1">
    <field x="-2"/>
  </colFields>
  <colItems count="5">
    <i>
      <x/>
    </i>
    <i i="1">
      <x v="1"/>
    </i>
    <i i="2">
      <x v="2"/>
    </i>
    <i i="3">
      <x v="3"/>
    </i>
    <i i="4">
      <x v="4"/>
    </i>
  </colItems>
  <dataFields count="5">
    <dataField name="Cuenta de PROYECTO O DESCRIPCIÓN DE LOS TRABAJOS" fld="2" subtotal="count" baseField="0" baseItem="0"/>
    <dataField name="Suma de $ Valoración de los trabajos (materiales + Mano de obra)" fld="15" baseField="0" baseItem="0" numFmtId="44"/>
    <dataField name="Suma de Clientes" fld="19" baseField="1" baseItem="0"/>
    <dataField name="Suma de Energía kW-h (por desconexión)}" fld="21" baseField="0" baseItem="0"/>
    <dataField name="Suma de USD energia (por desconexión)" fld="22" baseField="0" baseItem="0" numFmtId="44"/>
  </dataFields>
  <formats count="2">
    <format dxfId="4">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8"/>
  <sheetViews>
    <sheetView topLeftCell="A4" workbookViewId="0">
      <selection activeCell="G18" sqref="G18:L28"/>
    </sheetView>
  </sheetViews>
  <sheetFormatPr baseColWidth="10" defaultRowHeight="14.4" x14ac:dyDescent="0.3"/>
  <cols>
    <col min="1" max="6" width="12.33203125" customWidth="1"/>
    <col min="9" max="9" width="13.5546875" bestFit="1" customWidth="1"/>
    <col min="11" max="11" width="12.5546875" bestFit="1" customWidth="1"/>
    <col min="12" max="12" width="12" bestFit="1" customWidth="1"/>
  </cols>
  <sheetData>
    <row r="3" spans="1:6" x14ac:dyDescent="0.3">
      <c r="A3" s="62" t="s">
        <v>325</v>
      </c>
      <c r="B3" t="s">
        <v>327</v>
      </c>
      <c r="C3" t="s">
        <v>328</v>
      </c>
      <c r="D3" t="s">
        <v>329</v>
      </c>
      <c r="E3" t="s">
        <v>334</v>
      </c>
      <c r="F3" t="s">
        <v>330</v>
      </c>
    </row>
    <row r="4" spans="1:6" x14ac:dyDescent="0.3">
      <c r="A4" s="63" t="s">
        <v>22</v>
      </c>
      <c r="B4" s="64">
        <v>9</v>
      </c>
      <c r="C4" s="65">
        <v>87777.84</v>
      </c>
      <c r="D4" s="64">
        <v>30198</v>
      </c>
      <c r="E4" s="64">
        <v>15920</v>
      </c>
      <c r="F4" s="65">
        <v>1432.8</v>
      </c>
    </row>
    <row r="5" spans="1:6" x14ac:dyDescent="0.3">
      <c r="A5" s="63" t="s">
        <v>35</v>
      </c>
      <c r="B5" s="64">
        <v>17</v>
      </c>
      <c r="C5" s="65">
        <v>63637.590000000018</v>
      </c>
      <c r="D5" s="64">
        <v>140685</v>
      </c>
      <c r="E5" s="64">
        <v>389400</v>
      </c>
      <c r="F5" s="65">
        <v>35046</v>
      </c>
    </row>
    <row r="6" spans="1:6" x14ac:dyDescent="0.3">
      <c r="A6" s="63" t="s">
        <v>142</v>
      </c>
      <c r="B6" s="64">
        <v>6</v>
      </c>
      <c r="C6" s="65">
        <v>1184067.5900000001</v>
      </c>
      <c r="D6" s="64">
        <v>37385</v>
      </c>
      <c r="E6" s="64">
        <v>77970</v>
      </c>
      <c r="F6" s="65">
        <v>7017.3</v>
      </c>
    </row>
    <row r="7" spans="1:6" x14ac:dyDescent="0.3">
      <c r="A7" s="63" t="s">
        <v>254</v>
      </c>
      <c r="B7" s="64">
        <v>3</v>
      </c>
      <c r="C7" s="65">
        <v>15250</v>
      </c>
      <c r="D7" s="64">
        <v>450</v>
      </c>
      <c r="E7" s="64">
        <v>1752</v>
      </c>
      <c r="F7" s="65">
        <v>157.68</v>
      </c>
    </row>
    <row r="8" spans="1:6" x14ac:dyDescent="0.3">
      <c r="A8" s="63" t="s">
        <v>56</v>
      </c>
      <c r="B8" s="64">
        <v>17</v>
      </c>
      <c r="C8" s="65">
        <v>235634</v>
      </c>
      <c r="D8" s="64">
        <v>474731</v>
      </c>
      <c r="E8" s="64">
        <v>2288560</v>
      </c>
      <c r="F8" s="65">
        <v>205970.4</v>
      </c>
    </row>
    <row r="9" spans="1:6" x14ac:dyDescent="0.3">
      <c r="A9" s="63" t="s">
        <v>82</v>
      </c>
      <c r="B9" s="64">
        <v>26</v>
      </c>
      <c r="C9" s="65">
        <v>138026.46</v>
      </c>
      <c r="D9" s="64">
        <v>61096</v>
      </c>
      <c r="E9" s="64">
        <v>107825</v>
      </c>
      <c r="F9" s="65">
        <v>9704.25</v>
      </c>
    </row>
    <row r="10" spans="1:6" x14ac:dyDescent="0.3">
      <c r="A10" s="63" t="s">
        <v>94</v>
      </c>
      <c r="B10" s="64">
        <v>4</v>
      </c>
      <c r="C10" s="65">
        <v>37600</v>
      </c>
      <c r="D10" s="64">
        <v>50001</v>
      </c>
      <c r="E10" s="64">
        <v>158835</v>
      </c>
      <c r="F10" s="65">
        <v>14295.15</v>
      </c>
    </row>
    <row r="11" spans="1:6" x14ac:dyDescent="0.3">
      <c r="A11" s="63" t="s">
        <v>100</v>
      </c>
      <c r="B11" s="64">
        <v>6</v>
      </c>
      <c r="C11" s="65">
        <v>20408.68</v>
      </c>
      <c r="D11" s="64">
        <v>48176</v>
      </c>
      <c r="E11" s="64">
        <v>105000</v>
      </c>
      <c r="F11" s="65">
        <v>9450</v>
      </c>
    </row>
    <row r="12" spans="1:6" x14ac:dyDescent="0.3">
      <c r="A12" s="63" t="s">
        <v>113</v>
      </c>
      <c r="B12" s="64">
        <v>3</v>
      </c>
      <c r="C12" s="65">
        <v>3000</v>
      </c>
      <c r="D12" s="64">
        <v>48917</v>
      </c>
      <c r="E12" s="64">
        <v>65430</v>
      </c>
      <c r="F12" s="65">
        <v>5888.6999999999989</v>
      </c>
    </row>
    <row r="13" spans="1:6" x14ac:dyDescent="0.3">
      <c r="A13" s="63" t="s">
        <v>326</v>
      </c>
      <c r="B13" s="64">
        <v>91</v>
      </c>
      <c r="C13" s="65">
        <v>1785402.1600000001</v>
      </c>
      <c r="D13" s="64">
        <v>891639</v>
      </c>
      <c r="E13" s="64">
        <v>3210692</v>
      </c>
      <c r="F13" s="65">
        <v>288962.27999999997</v>
      </c>
    </row>
    <row r="18" spans="7:12" x14ac:dyDescent="0.3">
      <c r="G18" s="67" t="s">
        <v>335</v>
      </c>
      <c r="H18" s="67" t="s">
        <v>331</v>
      </c>
      <c r="I18" s="67" t="s">
        <v>332</v>
      </c>
      <c r="J18" s="67" t="s">
        <v>333</v>
      </c>
      <c r="K18" s="67" t="s">
        <v>337</v>
      </c>
      <c r="L18" s="67" t="s">
        <v>336</v>
      </c>
    </row>
    <row r="19" spans="7:12" x14ac:dyDescent="0.3">
      <c r="G19" s="66" t="s">
        <v>22</v>
      </c>
      <c r="H19" s="66">
        <v>9</v>
      </c>
      <c r="I19" s="70">
        <v>87777.84</v>
      </c>
      <c r="J19" s="72">
        <v>30198</v>
      </c>
      <c r="K19" s="68">
        <v>15920</v>
      </c>
      <c r="L19" s="70">
        <v>1432.8</v>
      </c>
    </row>
    <row r="20" spans="7:12" x14ac:dyDescent="0.3">
      <c r="G20" s="66" t="s">
        <v>35</v>
      </c>
      <c r="H20" s="66">
        <v>17</v>
      </c>
      <c r="I20" s="70">
        <v>63637.590000000018</v>
      </c>
      <c r="J20" s="72">
        <v>140685</v>
      </c>
      <c r="K20" s="68">
        <v>389400</v>
      </c>
      <c r="L20" s="70">
        <v>35046</v>
      </c>
    </row>
    <row r="21" spans="7:12" x14ac:dyDescent="0.3">
      <c r="G21" s="66" t="s">
        <v>142</v>
      </c>
      <c r="H21" s="66">
        <v>6</v>
      </c>
      <c r="I21" s="70">
        <v>1184067.5900000001</v>
      </c>
      <c r="J21" s="72">
        <v>37385</v>
      </c>
      <c r="K21" s="68">
        <v>77970</v>
      </c>
      <c r="L21" s="70">
        <v>7017.3</v>
      </c>
    </row>
    <row r="22" spans="7:12" x14ac:dyDescent="0.3">
      <c r="G22" s="66" t="s">
        <v>254</v>
      </c>
      <c r="H22" s="66">
        <v>3</v>
      </c>
      <c r="I22" s="70">
        <v>15250</v>
      </c>
      <c r="J22" s="72">
        <v>450</v>
      </c>
      <c r="K22" s="68">
        <v>1752</v>
      </c>
      <c r="L22" s="70">
        <v>157.68</v>
      </c>
    </row>
    <row r="23" spans="7:12" x14ac:dyDescent="0.3">
      <c r="G23" s="66" t="s">
        <v>56</v>
      </c>
      <c r="H23" s="66">
        <v>17</v>
      </c>
      <c r="I23" s="70">
        <v>235634</v>
      </c>
      <c r="J23" s="72">
        <v>474731</v>
      </c>
      <c r="K23" s="68">
        <v>2288560</v>
      </c>
      <c r="L23" s="70">
        <v>205970.4</v>
      </c>
    </row>
    <row r="24" spans="7:12" x14ac:dyDescent="0.3">
      <c r="G24" s="66" t="s">
        <v>82</v>
      </c>
      <c r="H24" s="66">
        <v>26</v>
      </c>
      <c r="I24" s="70">
        <v>138026.46</v>
      </c>
      <c r="J24" s="72">
        <v>61096</v>
      </c>
      <c r="K24" s="68">
        <v>107825</v>
      </c>
      <c r="L24" s="70">
        <v>9704.25</v>
      </c>
    </row>
    <row r="25" spans="7:12" x14ac:dyDescent="0.3">
      <c r="G25" s="66" t="s">
        <v>94</v>
      </c>
      <c r="H25" s="66">
        <v>4</v>
      </c>
      <c r="I25" s="70">
        <v>37600</v>
      </c>
      <c r="J25" s="72">
        <v>50001</v>
      </c>
      <c r="K25" s="68">
        <v>158835</v>
      </c>
      <c r="L25" s="70">
        <v>14295.15</v>
      </c>
    </row>
    <row r="26" spans="7:12" x14ac:dyDescent="0.3">
      <c r="G26" s="66" t="s">
        <v>100</v>
      </c>
      <c r="H26" s="66">
        <v>6</v>
      </c>
      <c r="I26" s="70">
        <v>20408.68</v>
      </c>
      <c r="J26" s="72">
        <v>48176</v>
      </c>
      <c r="K26" s="68">
        <v>105000</v>
      </c>
      <c r="L26" s="70">
        <v>9450</v>
      </c>
    </row>
    <row r="27" spans="7:12" x14ac:dyDescent="0.3">
      <c r="G27" s="66" t="s">
        <v>113</v>
      </c>
      <c r="H27" s="66">
        <v>3</v>
      </c>
      <c r="I27" s="70">
        <v>3000</v>
      </c>
      <c r="J27" s="72">
        <v>48917</v>
      </c>
      <c r="K27" s="68">
        <v>65430</v>
      </c>
      <c r="L27" s="70">
        <v>5888.6999999999989</v>
      </c>
    </row>
    <row r="28" spans="7:12" x14ac:dyDescent="0.3">
      <c r="G28" s="67" t="s">
        <v>326</v>
      </c>
      <c r="H28" s="67">
        <v>91</v>
      </c>
      <c r="I28" s="71">
        <v>1785402.1600000001</v>
      </c>
      <c r="J28" s="73">
        <v>891639</v>
      </c>
      <c r="K28" s="69">
        <v>3210692</v>
      </c>
      <c r="L28" s="71">
        <v>288962.27999999997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6"/>
  <sheetViews>
    <sheetView tabSelected="1" topLeftCell="G1" zoomScale="85" zoomScaleNormal="85" workbookViewId="0">
      <pane ySplit="5" topLeftCell="A6" activePane="bottomLeft" state="frozen"/>
      <selection pane="bottomLeft" activeCell="A5" sqref="A5:W96"/>
    </sheetView>
  </sheetViews>
  <sheetFormatPr baseColWidth="10" defaultColWidth="11.44140625" defaultRowHeight="14.4" x14ac:dyDescent="0.3"/>
  <cols>
    <col min="1" max="1" width="4.6640625" style="38" customWidth="1"/>
    <col min="2" max="2" width="11.44140625" style="38"/>
    <col min="3" max="3" width="50.33203125" style="38" customWidth="1"/>
    <col min="4" max="4" width="20.33203125" style="38" customWidth="1"/>
    <col min="5" max="6" width="15.44140625" style="38" customWidth="1"/>
    <col min="7" max="7" width="13.109375" style="38" customWidth="1"/>
    <col min="8" max="10" width="11.44140625" style="38"/>
    <col min="11" max="11" width="12.88671875" style="38" customWidth="1"/>
    <col min="12" max="15" width="11.44140625" style="38"/>
    <col min="16" max="16" width="16" style="38" customWidth="1"/>
    <col min="17" max="17" width="11.44140625" style="38"/>
    <col min="18" max="18" width="24.88671875" style="38" customWidth="1"/>
    <col min="19" max="21" width="11.44140625" style="38"/>
    <col min="22" max="22" width="14.109375" style="38" customWidth="1"/>
    <col min="23" max="23" width="11.44140625" style="38"/>
    <col min="24" max="24" width="22.88671875" style="38" customWidth="1"/>
    <col min="25" max="16384" width="11.44140625" style="38"/>
  </cols>
  <sheetData>
    <row r="1" spans="1:24" ht="18" x14ac:dyDescent="0.35">
      <c r="A1" s="57"/>
      <c r="B1" s="58" t="s">
        <v>320</v>
      </c>
      <c r="C1" s="58"/>
      <c r="D1" s="58"/>
      <c r="E1" s="58"/>
      <c r="F1" s="58"/>
      <c r="G1" s="58"/>
      <c r="H1" s="58"/>
      <c r="I1" s="58"/>
      <c r="J1" s="58"/>
      <c r="K1" s="58"/>
      <c r="L1" s="58"/>
      <c r="M1" s="58"/>
      <c r="N1" s="58"/>
      <c r="O1" s="58"/>
      <c r="P1" s="58"/>
      <c r="Q1" s="58"/>
      <c r="R1" s="58"/>
      <c r="S1" s="58"/>
      <c r="T1" s="58"/>
      <c r="U1" s="58"/>
      <c r="V1" s="58"/>
      <c r="W1" s="58"/>
    </row>
    <row r="3" spans="1:24" x14ac:dyDescent="0.3">
      <c r="A3" s="59"/>
      <c r="B3" s="59"/>
      <c r="E3" s="8" t="s">
        <v>321</v>
      </c>
      <c r="F3" s="23" t="s">
        <v>322</v>
      </c>
      <c r="G3" s="60" t="s">
        <v>323</v>
      </c>
      <c r="H3" s="61"/>
    </row>
    <row r="4" spans="1:24" ht="17.399999999999999" customHeight="1" x14ac:dyDescent="0.3"/>
    <row r="5" spans="1:24" ht="30.6" x14ac:dyDescent="0.3">
      <c r="A5" s="1" t="s">
        <v>324</v>
      </c>
      <c r="B5" s="1" t="s">
        <v>0</v>
      </c>
      <c r="C5" s="1" t="s">
        <v>1</v>
      </c>
      <c r="D5" s="1" t="s">
        <v>2</v>
      </c>
      <c r="E5" s="1" t="s">
        <v>3</v>
      </c>
      <c r="F5" s="1" t="s">
        <v>4</v>
      </c>
      <c r="G5" s="1" t="s">
        <v>5</v>
      </c>
      <c r="H5" s="1" t="s">
        <v>6</v>
      </c>
      <c r="I5" s="1" t="s">
        <v>7</v>
      </c>
      <c r="J5" s="1" t="s">
        <v>8</v>
      </c>
      <c r="K5" s="1" t="s">
        <v>9</v>
      </c>
      <c r="L5" s="2" t="s">
        <v>10</v>
      </c>
      <c r="M5" s="1" t="s">
        <v>11</v>
      </c>
      <c r="N5" s="1" t="s">
        <v>12</v>
      </c>
      <c r="O5" s="1" t="s">
        <v>13</v>
      </c>
      <c r="P5" s="3" t="s">
        <v>14</v>
      </c>
      <c r="Q5" s="3" t="s">
        <v>15</v>
      </c>
      <c r="R5" s="1" t="s">
        <v>16</v>
      </c>
      <c r="S5" s="4" t="s">
        <v>17</v>
      </c>
      <c r="T5" s="5" t="s">
        <v>18</v>
      </c>
      <c r="U5" s="6" t="s">
        <v>19</v>
      </c>
      <c r="V5" s="5" t="s">
        <v>20</v>
      </c>
      <c r="W5" s="5" t="s">
        <v>21</v>
      </c>
      <c r="X5" s="7"/>
    </row>
    <row r="6" spans="1:24" ht="20.399999999999999" x14ac:dyDescent="0.3">
      <c r="A6" s="8">
        <v>1</v>
      </c>
      <c r="B6" s="8" t="s">
        <v>22</v>
      </c>
      <c r="C6" s="8" t="s">
        <v>23</v>
      </c>
      <c r="D6" s="8"/>
      <c r="E6" s="8" t="s">
        <v>24</v>
      </c>
      <c r="F6" s="8"/>
      <c r="G6" s="8" t="s">
        <v>25</v>
      </c>
      <c r="H6" s="8" t="s">
        <v>26</v>
      </c>
      <c r="I6" s="8" t="s">
        <v>27</v>
      </c>
      <c r="J6" s="8" t="s">
        <v>28</v>
      </c>
      <c r="K6" s="8">
        <v>2.1800000000000002</v>
      </c>
      <c r="L6" s="9">
        <v>46172</v>
      </c>
      <c r="M6" s="10">
        <v>4.1666666666666664E-2</v>
      </c>
      <c r="N6" s="9">
        <v>46172</v>
      </c>
      <c r="O6" s="10">
        <v>0.16666666666666666</v>
      </c>
      <c r="P6" s="11">
        <v>9758.66</v>
      </c>
      <c r="Q6" s="11">
        <v>0</v>
      </c>
      <c r="R6" s="8"/>
      <c r="S6" s="8" t="s">
        <v>29</v>
      </c>
      <c r="T6" s="12">
        <v>13592</v>
      </c>
      <c r="U6" s="12">
        <v>13592</v>
      </c>
      <c r="V6" s="12">
        <v>6540</v>
      </c>
      <c r="W6" s="13">
        <v>588.6</v>
      </c>
      <c r="X6" s="14"/>
    </row>
    <row r="7" spans="1:24" ht="20.399999999999999" x14ac:dyDescent="0.3">
      <c r="A7" s="8">
        <v>2</v>
      </c>
      <c r="B7" s="8" t="s">
        <v>22</v>
      </c>
      <c r="C7" s="8" t="s">
        <v>30</v>
      </c>
      <c r="D7" s="8"/>
      <c r="E7" s="8" t="s">
        <v>24</v>
      </c>
      <c r="F7" s="8" t="s">
        <v>31</v>
      </c>
      <c r="G7" s="8" t="s">
        <v>25</v>
      </c>
      <c r="H7" s="8" t="s">
        <v>32</v>
      </c>
      <c r="I7" s="8" t="s">
        <v>33</v>
      </c>
      <c r="J7" s="8" t="s">
        <v>34</v>
      </c>
      <c r="K7" s="8">
        <v>0.19</v>
      </c>
      <c r="L7" s="9">
        <v>46172</v>
      </c>
      <c r="M7" s="10">
        <v>4.1666666666666664E-2</v>
      </c>
      <c r="N7" s="9">
        <v>46172</v>
      </c>
      <c r="O7" s="10">
        <v>0.16666666666666666</v>
      </c>
      <c r="P7" s="11">
        <v>14500</v>
      </c>
      <c r="Q7" s="11">
        <v>0</v>
      </c>
      <c r="R7" s="8"/>
      <c r="S7" s="8" t="s">
        <v>4</v>
      </c>
      <c r="T7" s="12"/>
      <c r="U7" s="15"/>
      <c r="V7" s="12">
        <v>570</v>
      </c>
      <c r="W7" s="13">
        <v>51.3</v>
      </c>
      <c r="X7" s="14"/>
    </row>
    <row r="8" spans="1:24" ht="20.399999999999999" x14ac:dyDescent="0.3">
      <c r="A8" s="8">
        <v>3</v>
      </c>
      <c r="B8" s="8" t="s">
        <v>35</v>
      </c>
      <c r="C8" s="8" t="s">
        <v>36</v>
      </c>
      <c r="D8" s="8"/>
      <c r="E8" s="8"/>
      <c r="F8" s="8" t="s">
        <v>37</v>
      </c>
      <c r="G8" s="8" t="s">
        <v>38</v>
      </c>
      <c r="H8" s="8" t="s">
        <v>39</v>
      </c>
      <c r="I8" s="8" t="s">
        <v>40</v>
      </c>
      <c r="J8" s="8" t="s">
        <v>41</v>
      </c>
      <c r="K8" s="8">
        <v>2</v>
      </c>
      <c r="L8" s="9">
        <v>46172</v>
      </c>
      <c r="M8" s="10">
        <v>0.125</v>
      </c>
      <c r="N8" s="9">
        <v>46172</v>
      </c>
      <c r="O8" s="10">
        <v>0.25</v>
      </c>
      <c r="P8" s="11">
        <v>1700</v>
      </c>
      <c r="Q8" s="11">
        <v>0</v>
      </c>
      <c r="R8" s="8" t="s">
        <v>42</v>
      </c>
      <c r="S8" s="8" t="s">
        <v>4</v>
      </c>
      <c r="T8" s="12">
        <v>1882</v>
      </c>
      <c r="U8" s="15">
        <v>1882</v>
      </c>
      <c r="V8" s="12">
        <v>6000</v>
      </c>
      <c r="W8" s="13">
        <v>540</v>
      </c>
      <c r="X8" s="14"/>
    </row>
    <row r="9" spans="1:24" ht="20.399999999999999" x14ac:dyDescent="0.3">
      <c r="A9" s="8">
        <v>4</v>
      </c>
      <c r="B9" s="8" t="s">
        <v>35</v>
      </c>
      <c r="C9" s="8" t="s">
        <v>43</v>
      </c>
      <c r="D9" s="8"/>
      <c r="E9" s="8" t="s">
        <v>44</v>
      </c>
      <c r="F9" s="8"/>
      <c r="G9" s="8" t="s">
        <v>45</v>
      </c>
      <c r="H9" s="8" t="s">
        <v>44</v>
      </c>
      <c r="I9" s="8" t="s">
        <v>46</v>
      </c>
      <c r="J9" s="8" t="s">
        <v>34</v>
      </c>
      <c r="K9" s="8">
        <v>11</v>
      </c>
      <c r="L9" s="9">
        <v>46172</v>
      </c>
      <c r="M9" s="10">
        <v>0.125</v>
      </c>
      <c r="N9" s="9">
        <v>46172</v>
      </c>
      <c r="O9" s="10">
        <v>0.25</v>
      </c>
      <c r="P9" s="11">
        <v>6990.81</v>
      </c>
      <c r="Q9" s="11">
        <v>0</v>
      </c>
      <c r="R9" s="8" t="s">
        <v>47</v>
      </c>
      <c r="S9" s="8" t="s">
        <v>29</v>
      </c>
      <c r="T9" s="12">
        <v>14991</v>
      </c>
      <c r="U9" s="15">
        <v>14991</v>
      </c>
      <c r="V9" s="12">
        <v>33000</v>
      </c>
      <c r="W9" s="13">
        <v>2970</v>
      </c>
      <c r="X9" s="14"/>
    </row>
    <row r="10" spans="1:24" ht="20.399999999999999" x14ac:dyDescent="0.3">
      <c r="A10" s="8">
        <v>5</v>
      </c>
      <c r="B10" s="8" t="s">
        <v>35</v>
      </c>
      <c r="C10" s="8" t="s">
        <v>48</v>
      </c>
      <c r="D10" s="8"/>
      <c r="E10" s="8"/>
      <c r="F10" s="8" t="s">
        <v>49</v>
      </c>
      <c r="G10" s="8" t="s">
        <v>38</v>
      </c>
      <c r="H10" s="8" t="s">
        <v>39</v>
      </c>
      <c r="I10" s="8" t="s">
        <v>50</v>
      </c>
      <c r="J10" s="8" t="s">
        <v>28</v>
      </c>
      <c r="K10" s="8">
        <v>2.5</v>
      </c>
      <c r="L10" s="9">
        <v>46172</v>
      </c>
      <c r="M10" s="10">
        <v>0.125</v>
      </c>
      <c r="N10" s="9">
        <v>46172</v>
      </c>
      <c r="O10" s="10">
        <v>0.25</v>
      </c>
      <c r="P10" s="11">
        <v>2444.7600000000002</v>
      </c>
      <c r="Q10" s="11">
        <v>0</v>
      </c>
      <c r="R10" s="8" t="s">
        <v>42</v>
      </c>
      <c r="S10" s="8" t="s">
        <v>4</v>
      </c>
      <c r="T10" s="12">
        <v>639</v>
      </c>
      <c r="U10" s="15">
        <v>639</v>
      </c>
      <c r="V10" s="12">
        <v>7500</v>
      </c>
      <c r="W10" s="13">
        <v>675</v>
      </c>
      <c r="X10" s="14"/>
    </row>
    <row r="11" spans="1:24" ht="20.399999999999999" x14ac:dyDescent="0.3">
      <c r="A11" s="8">
        <v>6</v>
      </c>
      <c r="B11" s="8" t="s">
        <v>35</v>
      </c>
      <c r="C11" s="8" t="s">
        <v>51</v>
      </c>
      <c r="D11" s="8"/>
      <c r="E11" s="8"/>
      <c r="F11" s="8" t="s">
        <v>52</v>
      </c>
      <c r="G11" s="8" t="s">
        <v>38</v>
      </c>
      <c r="H11" s="8" t="s">
        <v>39</v>
      </c>
      <c r="I11" s="8" t="s">
        <v>53</v>
      </c>
      <c r="J11" s="8" t="s">
        <v>28</v>
      </c>
      <c r="K11" s="8">
        <v>2.2999999999999998</v>
      </c>
      <c r="L11" s="9">
        <v>46172</v>
      </c>
      <c r="M11" s="10">
        <v>0.125</v>
      </c>
      <c r="N11" s="9">
        <v>46172</v>
      </c>
      <c r="O11" s="10">
        <v>0.25</v>
      </c>
      <c r="P11" s="11">
        <v>1001.35</v>
      </c>
      <c r="Q11" s="11">
        <v>0</v>
      </c>
      <c r="R11" s="8" t="s">
        <v>42</v>
      </c>
      <c r="S11" s="8" t="s">
        <v>4</v>
      </c>
      <c r="T11" s="12">
        <v>3229</v>
      </c>
      <c r="U11" s="15">
        <v>3229</v>
      </c>
      <c r="V11" s="12">
        <v>6900</v>
      </c>
      <c r="W11" s="13">
        <v>621</v>
      </c>
      <c r="X11" s="14"/>
    </row>
    <row r="12" spans="1:24" ht="20.399999999999999" x14ac:dyDescent="0.3">
      <c r="A12" s="8">
        <v>7</v>
      </c>
      <c r="B12" s="8" t="s">
        <v>35</v>
      </c>
      <c r="C12" s="8" t="s">
        <v>54</v>
      </c>
      <c r="D12" s="8"/>
      <c r="E12" s="8"/>
      <c r="F12" s="8" t="s">
        <v>55</v>
      </c>
      <c r="G12" s="8" t="s">
        <v>38</v>
      </c>
      <c r="H12" s="8" t="s">
        <v>39</v>
      </c>
      <c r="I12" s="8" t="s">
        <v>53</v>
      </c>
      <c r="J12" s="8" t="s">
        <v>28</v>
      </c>
      <c r="K12" s="8">
        <v>3</v>
      </c>
      <c r="L12" s="9">
        <v>46172</v>
      </c>
      <c r="M12" s="10">
        <v>0.125</v>
      </c>
      <c r="N12" s="9">
        <v>46172</v>
      </c>
      <c r="O12" s="10">
        <v>0.25</v>
      </c>
      <c r="P12" s="11">
        <v>4869.34</v>
      </c>
      <c r="Q12" s="11">
        <v>0</v>
      </c>
      <c r="R12" s="8" t="s">
        <v>42</v>
      </c>
      <c r="S12" s="8" t="s">
        <v>4</v>
      </c>
      <c r="T12" s="12">
        <v>3229</v>
      </c>
      <c r="U12" s="15">
        <v>3229</v>
      </c>
      <c r="V12" s="12">
        <v>9000</v>
      </c>
      <c r="W12" s="13">
        <v>810</v>
      </c>
      <c r="X12" s="14"/>
    </row>
    <row r="13" spans="1:24" ht="30.6" x14ac:dyDescent="0.3">
      <c r="A13" s="8">
        <v>8</v>
      </c>
      <c r="B13" s="8" t="s">
        <v>56</v>
      </c>
      <c r="C13" s="8" t="s">
        <v>57</v>
      </c>
      <c r="D13" s="8"/>
      <c r="E13" s="8" t="s">
        <v>58</v>
      </c>
      <c r="F13" s="8"/>
      <c r="G13" s="8" t="s">
        <v>59</v>
      </c>
      <c r="H13" s="8" t="s">
        <v>60</v>
      </c>
      <c r="I13" s="8" t="s">
        <v>61</v>
      </c>
      <c r="J13" s="8" t="s">
        <v>41</v>
      </c>
      <c r="K13" s="8">
        <v>7.5</v>
      </c>
      <c r="L13" s="16">
        <v>46173</v>
      </c>
      <c r="M13" s="10">
        <v>0.16666666666666666</v>
      </c>
      <c r="N13" s="16">
        <v>46173</v>
      </c>
      <c r="O13" s="10">
        <v>0.25</v>
      </c>
      <c r="P13" s="11">
        <v>2800</v>
      </c>
      <c r="Q13" s="11">
        <v>0</v>
      </c>
      <c r="R13" s="8" t="s">
        <v>62</v>
      </c>
      <c r="S13" s="8" t="s">
        <v>29</v>
      </c>
      <c r="T13" s="12">
        <v>13353</v>
      </c>
      <c r="U13" s="15">
        <v>13353</v>
      </c>
      <c r="V13" s="12">
        <v>15000</v>
      </c>
      <c r="W13" s="13">
        <v>1350</v>
      </c>
      <c r="X13" s="14"/>
    </row>
    <row r="14" spans="1:24" ht="61.2" x14ac:dyDescent="0.3">
      <c r="A14" s="8">
        <v>9</v>
      </c>
      <c r="B14" s="8" t="s">
        <v>56</v>
      </c>
      <c r="C14" s="8" t="s">
        <v>63</v>
      </c>
      <c r="D14" s="8" t="s">
        <v>64</v>
      </c>
      <c r="E14" s="8"/>
      <c r="F14" s="8"/>
      <c r="G14" s="8" t="s">
        <v>59</v>
      </c>
      <c r="H14" s="8" t="s">
        <v>65</v>
      </c>
      <c r="I14" s="8" t="s">
        <v>66</v>
      </c>
      <c r="J14" s="8" t="s">
        <v>67</v>
      </c>
      <c r="K14" s="8">
        <v>113</v>
      </c>
      <c r="L14" s="9">
        <v>46172</v>
      </c>
      <c r="M14" s="10">
        <v>0.125</v>
      </c>
      <c r="N14" s="9">
        <v>46172</v>
      </c>
      <c r="O14" s="10">
        <v>0.25</v>
      </c>
      <c r="P14" s="11">
        <v>70000</v>
      </c>
      <c r="Q14" s="11"/>
      <c r="R14" s="8" t="s">
        <v>62</v>
      </c>
      <c r="S14" s="8" t="s">
        <v>66</v>
      </c>
      <c r="T14" s="17">
        <v>96317</v>
      </c>
      <c r="U14" s="18">
        <v>96317</v>
      </c>
      <c r="V14" s="17">
        <v>339000</v>
      </c>
      <c r="W14" s="13">
        <v>30510</v>
      </c>
      <c r="X14" s="14"/>
    </row>
    <row r="15" spans="1:24" ht="51" x14ac:dyDescent="0.3">
      <c r="A15" s="8">
        <v>10</v>
      </c>
      <c r="B15" s="8" t="s">
        <v>56</v>
      </c>
      <c r="C15" s="8" t="s">
        <v>68</v>
      </c>
      <c r="D15" s="8" t="s">
        <v>69</v>
      </c>
      <c r="E15" s="8" t="s">
        <v>70</v>
      </c>
      <c r="F15" s="8"/>
      <c r="G15" s="8" t="s">
        <v>71</v>
      </c>
      <c r="H15" s="8" t="s">
        <v>72</v>
      </c>
      <c r="I15" s="8" t="s">
        <v>66</v>
      </c>
      <c r="J15" s="8" t="s">
        <v>67</v>
      </c>
      <c r="K15" s="8">
        <v>11.13</v>
      </c>
      <c r="L15" s="9">
        <v>46172</v>
      </c>
      <c r="M15" s="10">
        <v>0.125</v>
      </c>
      <c r="N15" s="9">
        <v>46172</v>
      </c>
      <c r="O15" s="10">
        <v>0.25</v>
      </c>
      <c r="P15" s="11">
        <v>3500</v>
      </c>
      <c r="Q15" s="11"/>
      <c r="R15" s="8" t="s">
        <v>73</v>
      </c>
      <c r="S15" s="8" t="s">
        <v>66</v>
      </c>
      <c r="T15" s="17">
        <v>16442</v>
      </c>
      <c r="U15" s="18">
        <v>16442</v>
      </c>
      <c r="V15" s="17">
        <v>33390</v>
      </c>
      <c r="W15" s="13">
        <v>3005.1</v>
      </c>
      <c r="X15" s="14"/>
    </row>
    <row r="16" spans="1:24" ht="51" x14ac:dyDescent="0.3">
      <c r="A16" s="8">
        <v>11</v>
      </c>
      <c r="B16" s="8" t="s">
        <v>56</v>
      </c>
      <c r="C16" s="8" t="s">
        <v>74</v>
      </c>
      <c r="D16" s="8" t="s">
        <v>75</v>
      </c>
      <c r="E16" s="8"/>
      <c r="F16" s="8"/>
      <c r="G16" s="8" t="s">
        <v>59</v>
      </c>
      <c r="H16" s="8" t="s">
        <v>76</v>
      </c>
      <c r="I16" s="8" t="s">
        <v>66</v>
      </c>
      <c r="J16" s="8" t="s">
        <v>67</v>
      </c>
      <c r="K16" s="8">
        <v>45</v>
      </c>
      <c r="L16" s="9">
        <v>46173</v>
      </c>
      <c r="M16" s="10">
        <v>0.125</v>
      </c>
      <c r="N16" s="9">
        <v>46173</v>
      </c>
      <c r="O16" s="10">
        <v>0.25</v>
      </c>
      <c r="P16" s="11">
        <v>8000</v>
      </c>
      <c r="Q16" s="11"/>
      <c r="R16" s="8" t="s">
        <v>62</v>
      </c>
      <c r="S16" s="8" t="s">
        <v>66</v>
      </c>
      <c r="T16" s="12">
        <v>55764</v>
      </c>
      <c r="U16" s="15">
        <v>55764</v>
      </c>
      <c r="V16" s="12">
        <v>135000</v>
      </c>
      <c r="W16" s="13">
        <v>12150</v>
      </c>
      <c r="X16" s="14" t="s">
        <v>77</v>
      </c>
    </row>
    <row r="17" spans="1:24" ht="91.8" x14ac:dyDescent="0.3">
      <c r="A17" s="8">
        <v>12</v>
      </c>
      <c r="B17" s="8" t="s">
        <v>56</v>
      </c>
      <c r="C17" s="8" t="s">
        <v>78</v>
      </c>
      <c r="D17" s="8"/>
      <c r="E17" s="8" t="s">
        <v>79</v>
      </c>
      <c r="F17" s="8"/>
      <c r="G17" s="8" t="s">
        <v>59</v>
      </c>
      <c r="H17" s="8" t="s">
        <v>80</v>
      </c>
      <c r="I17" s="8" t="s">
        <v>81</v>
      </c>
      <c r="J17" s="8" t="s">
        <v>41</v>
      </c>
      <c r="K17" s="8">
        <v>25.49</v>
      </c>
      <c r="L17" s="9">
        <v>46173</v>
      </c>
      <c r="M17" s="10">
        <v>0.125</v>
      </c>
      <c r="N17" s="9">
        <v>46173</v>
      </c>
      <c r="O17" s="10">
        <v>0.25</v>
      </c>
      <c r="P17" s="11">
        <v>6500</v>
      </c>
      <c r="Q17" s="11"/>
      <c r="R17" s="8" t="s">
        <v>62</v>
      </c>
      <c r="S17" s="8" t="s">
        <v>29</v>
      </c>
      <c r="T17" s="12">
        <v>24491</v>
      </c>
      <c r="U17" s="12">
        <v>24491</v>
      </c>
      <c r="V17" s="12">
        <v>76470</v>
      </c>
      <c r="W17" s="13">
        <v>6882.3</v>
      </c>
      <c r="X17" s="14"/>
    </row>
    <row r="18" spans="1:24" ht="20.399999999999999" x14ac:dyDescent="0.3">
      <c r="A18" s="8">
        <v>13</v>
      </c>
      <c r="B18" s="8" t="s">
        <v>56</v>
      </c>
      <c r="C18" s="8" t="s">
        <v>184</v>
      </c>
      <c r="D18" s="8" t="s">
        <v>185</v>
      </c>
      <c r="E18" s="8"/>
      <c r="F18" s="8"/>
      <c r="G18" s="8" t="s">
        <v>59</v>
      </c>
      <c r="H18" s="8" t="s">
        <v>186</v>
      </c>
      <c r="I18" s="8"/>
      <c r="J18" s="8" t="s">
        <v>41</v>
      </c>
      <c r="K18" s="8">
        <v>31</v>
      </c>
      <c r="L18" s="9">
        <v>46173</v>
      </c>
      <c r="M18" s="10">
        <v>4.1666666666666664E-2</v>
      </c>
      <c r="N18" s="9">
        <v>46173</v>
      </c>
      <c r="O18" s="10">
        <v>0.45833333333333331</v>
      </c>
      <c r="P18" s="11">
        <v>63000</v>
      </c>
      <c r="Q18" s="11"/>
      <c r="R18" s="8" t="s">
        <v>187</v>
      </c>
      <c r="S18" s="21" t="s">
        <v>66</v>
      </c>
      <c r="T18" s="12">
        <v>33268</v>
      </c>
      <c r="U18" s="15">
        <v>33268</v>
      </c>
      <c r="V18" s="12">
        <v>310000</v>
      </c>
      <c r="W18" s="13">
        <f>V18*W45/V45</f>
        <v>27900</v>
      </c>
      <c r="X18" s="7"/>
    </row>
    <row r="19" spans="1:24" ht="30.6" x14ac:dyDescent="0.3">
      <c r="A19" s="8">
        <v>14</v>
      </c>
      <c r="B19" s="8" t="s">
        <v>56</v>
      </c>
      <c r="C19" s="8" t="s">
        <v>188</v>
      </c>
      <c r="D19" s="8" t="s">
        <v>189</v>
      </c>
      <c r="E19" s="8"/>
      <c r="F19" s="8"/>
      <c r="G19" s="8" t="s">
        <v>59</v>
      </c>
      <c r="H19" s="8" t="s">
        <v>190</v>
      </c>
      <c r="I19" s="8"/>
      <c r="J19" s="8" t="s">
        <v>41</v>
      </c>
      <c r="K19" s="8">
        <v>43</v>
      </c>
      <c r="L19" s="9">
        <v>46173</v>
      </c>
      <c r="M19" s="10">
        <v>4.1666666666666664E-2</v>
      </c>
      <c r="N19" s="9">
        <v>46173</v>
      </c>
      <c r="O19" s="10">
        <v>0.45833333333333331</v>
      </c>
      <c r="P19" s="11">
        <v>2100</v>
      </c>
      <c r="Q19" s="11"/>
      <c r="R19" s="8" t="s">
        <v>187</v>
      </c>
      <c r="S19" s="21" t="s">
        <v>66</v>
      </c>
      <c r="T19" s="12">
        <v>83738</v>
      </c>
      <c r="U19" s="15">
        <v>83738</v>
      </c>
      <c r="V19" s="12">
        <v>430000</v>
      </c>
      <c r="W19" s="13">
        <f>V19*W45/V45</f>
        <v>38700</v>
      </c>
      <c r="X19" s="7"/>
    </row>
    <row r="20" spans="1:24" ht="20.399999999999999" x14ac:dyDescent="0.3">
      <c r="A20" s="8">
        <v>15</v>
      </c>
      <c r="B20" s="8" t="s">
        <v>56</v>
      </c>
      <c r="C20" s="8" t="s">
        <v>191</v>
      </c>
      <c r="D20" s="8"/>
      <c r="E20" s="8"/>
      <c r="F20" s="8" t="s">
        <v>192</v>
      </c>
      <c r="G20" s="8" t="s">
        <v>59</v>
      </c>
      <c r="H20" s="8" t="s">
        <v>190</v>
      </c>
      <c r="I20" s="8"/>
      <c r="J20" s="8" t="s">
        <v>28</v>
      </c>
      <c r="K20" s="8">
        <v>2.2999999999999998</v>
      </c>
      <c r="L20" s="9">
        <v>46173</v>
      </c>
      <c r="M20" s="10">
        <v>4.1666666666666664E-2</v>
      </c>
      <c r="N20" s="9">
        <v>46173</v>
      </c>
      <c r="O20" s="10">
        <v>0.45833333333333331</v>
      </c>
      <c r="P20" s="11">
        <v>1100</v>
      </c>
      <c r="Q20" s="11"/>
      <c r="R20" s="8" t="s">
        <v>187</v>
      </c>
      <c r="S20" s="21" t="s">
        <v>66</v>
      </c>
      <c r="T20" s="12">
        <v>2617</v>
      </c>
      <c r="U20" s="15">
        <v>2617</v>
      </c>
      <c r="V20" s="12">
        <f>2300*10</f>
        <v>23000</v>
      </c>
      <c r="W20" s="13">
        <f>V20*W52/V52</f>
        <v>2070</v>
      </c>
      <c r="X20" s="7"/>
    </row>
    <row r="21" spans="1:24" ht="20.399999999999999" x14ac:dyDescent="0.3">
      <c r="A21" s="8">
        <v>16</v>
      </c>
      <c r="B21" s="8" t="s">
        <v>56</v>
      </c>
      <c r="C21" s="8" t="s">
        <v>317</v>
      </c>
      <c r="D21" s="8" t="s">
        <v>318</v>
      </c>
      <c r="E21" s="8"/>
      <c r="F21" s="8"/>
      <c r="G21" s="8"/>
      <c r="H21" s="8"/>
      <c r="I21" s="8" t="s">
        <v>318</v>
      </c>
      <c r="J21" s="8" t="s">
        <v>41</v>
      </c>
      <c r="K21" s="8">
        <v>65</v>
      </c>
      <c r="L21" s="9">
        <v>46173</v>
      </c>
      <c r="M21" s="10">
        <v>4.1666666666666664E-2</v>
      </c>
      <c r="N21" s="9">
        <v>46173</v>
      </c>
      <c r="O21" s="10">
        <v>0.45833333333333331</v>
      </c>
      <c r="P21" s="11">
        <v>57434</v>
      </c>
      <c r="Q21" s="11">
        <v>0</v>
      </c>
      <c r="R21" s="8" t="s">
        <v>319</v>
      </c>
      <c r="S21" s="21" t="s">
        <v>66</v>
      </c>
      <c r="T21" s="12">
        <v>29832</v>
      </c>
      <c r="U21" s="15">
        <v>11667</v>
      </c>
      <c r="V21" s="12">
        <v>123000</v>
      </c>
      <c r="W21" s="13">
        <v>11070</v>
      </c>
      <c r="X21" s="7" t="s">
        <v>288</v>
      </c>
    </row>
    <row r="22" spans="1:24" ht="71.400000000000006" x14ac:dyDescent="0.3">
      <c r="A22" s="8">
        <v>17</v>
      </c>
      <c r="B22" s="8" t="s">
        <v>82</v>
      </c>
      <c r="C22" s="19" t="s">
        <v>83</v>
      </c>
      <c r="D22" s="8"/>
      <c r="E22" s="8" t="s">
        <v>84</v>
      </c>
      <c r="F22" s="8"/>
      <c r="G22" s="8" t="s">
        <v>85</v>
      </c>
      <c r="H22" s="8" t="s">
        <v>86</v>
      </c>
      <c r="I22" s="8" t="s">
        <v>87</v>
      </c>
      <c r="J22" s="8" t="s">
        <v>41</v>
      </c>
      <c r="K22" s="8">
        <v>9.5</v>
      </c>
      <c r="L22" s="20">
        <v>46172</v>
      </c>
      <c r="M22" s="10">
        <v>0.125</v>
      </c>
      <c r="N22" s="20">
        <v>46172</v>
      </c>
      <c r="O22" s="10">
        <v>0.29166666666666669</v>
      </c>
      <c r="P22" s="11">
        <v>24162.48</v>
      </c>
      <c r="Q22" s="11">
        <v>0</v>
      </c>
      <c r="R22" s="8" t="s">
        <v>88</v>
      </c>
      <c r="S22" s="21" t="s">
        <v>29</v>
      </c>
      <c r="T22" s="12">
        <v>21407</v>
      </c>
      <c r="U22" s="15">
        <v>21407</v>
      </c>
      <c r="V22" s="12">
        <v>38000</v>
      </c>
      <c r="W22" s="13">
        <v>3420</v>
      </c>
      <c r="X22" s="14"/>
    </row>
    <row r="23" spans="1:24" ht="71.400000000000006" x14ac:dyDescent="0.3">
      <c r="A23" s="8">
        <v>18</v>
      </c>
      <c r="B23" s="8" t="s">
        <v>82</v>
      </c>
      <c r="C23" s="19" t="s">
        <v>89</v>
      </c>
      <c r="D23" s="8"/>
      <c r="E23" s="8" t="s">
        <v>90</v>
      </c>
      <c r="F23" s="8"/>
      <c r="G23" s="8" t="s">
        <v>85</v>
      </c>
      <c r="H23" s="8" t="s">
        <v>91</v>
      </c>
      <c r="I23" s="8" t="s">
        <v>92</v>
      </c>
      <c r="J23" s="8" t="s">
        <v>41</v>
      </c>
      <c r="K23" s="8">
        <v>6.5</v>
      </c>
      <c r="L23" s="20">
        <v>46173</v>
      </c>
      <c r="M23" s="10">
        <v>0.125</v>
      </c>
      <c r="N23" s="20">
        <v>46173</v>
      </c>
      <c r="O23" s="10">
        <v>0.25</v>
      </c>
      <c r="P23" s="11">
        <v>5445.85</v>
      </c>
      <c r="Q23" s="11">
        <v>0</v>
      </c>
      <c r="R23" s="8" t="s">
        <v>93</v>
      </c>
      <c r="S23" s="21" t="s">
        <v>29</v>
      </c>
      <c r="T23" s="12">
        <v>21995</v>
      </c>
      <c r="U23" s="15">
        <v>21995</v>
      </c>
      <c r="V23" s="12">
        <v>19500</v>
      </c>
      <c r="W23" s="13">
        <v>1755</v>
      </c>
      <c r="X23" s="14"/>
    </row>
    <row r="24" spans="1:24" ht="51" x14ac:dyDescent="0.3">
      <c r="A24" s="8">
        <v>19</v>
      </c>
      <c r="B24" s="8" t="s">
        <v>94</v>
      </c>
      <c r="C24" s="8" t="s">
        <v>95</v>
      </c>
      <c r="D24" s="8" t="s">
        <v>96</v>
      </c>
      <c r="E24" s="8"/>
      <c r="F24" s="8"/>
      <c r="G24" s="8" t="s">
        <v>97</v>
      </c>
      <c r="H24" s="8" t="s">
        <v>98</v>
      </c>
      <c r="I24" s="8" t="s">
        <v>66</v>
      </c>
      <c r="J24" s="8" t="s">
        <v>28</v>
      </c>
      <c r="K24" s="8">
        <v>17.145</v>
      </c>
      <c r="L24" s="9">
        <v>46172</v>
      </c>
      <c r="M24" s="10">
        <v>0.25</v>
      </c>
      <c r="N24" s="9">
        <v>46172</v>
      </c>
      <c r="O24" s="10">
        <v>0.375</v>
      </c>
      <c r="P24" s="11">
        <v>9886</v>
      </c>
      <c r="Q24" s="11">
        <v>0</v>
      </c>
      <c r="R24" s="8" t="s">
        <v>99</v>
      </c>
      <c r="S24" s="21" t="s">
        <v>66</v>
      </c>
      <c r="T24" s="12">
        <v>17145</v>
      </c>
      <c r="U24" s="15">
        <v>17145</v>
      </c>
      <c r="V24" s="12">
        <v>51435</v>
      </c>
      <c r="W24" s="13">
        <v>4629.1499999999996</v>
      </c>
      <c r="X24" s="14"/>
    </row>
    <row r="25" spans="1:24" ht="20.399999999999999" x14ac:dyDescent="0.3">
      <c r="A25" s="8">
        <v>20</v>
      </c>
      <c r="B25" s="8" t="s">
        <v>94</v>
      </c>
      <c r="C25" s="8" t="s">
        <v>244</v>
      </c>
      <c r="D25" s="8"/>
      <c r="E25" s="8" t="s">
        <v>245</v>
      </c>
      <c r="F25" s="8" t="s">
        <v>246</v>
      </c>
      <c r="G25" s="8" t="s">
        <v>97</v>
      </c>
      <c r="H25" s="8" t="s">
        <v>98</v>
      </c>
      <c r="I25" s="8" t="s">
        <v>247</v>
      </c>
      <c r="J25" s="8" t="s">
        <v>28</v>
      </c>
      <c r="K25" s="8">
        <v>10</v>
      </c>
      <c r="L25" s="9">
        <v>46173</v>
      </c>
      <c r="M25" s="10">
        <v>0.125</v>
      </c>
      <c r="N25" s="9">
        <v>46173</v>
      </c>
      <c r="O25" s="10">
        <v>0.25</v>
      </c>
      <c r="P25" s="11">
        <v>4480</v>
      </c>
      <c r="Q25" s="11">
        <v>0</v>
      </c>
      <c r="R25" s="8" t="s">
        <v>164</v>
      </c>
      <c r="S25" s="21" t="s">
        <v>29</v>
      </c>
      <c r="T25" s="12">
        <v>8819</v>
      </c>
      <c r="U25" s="15">
        <v>8819</v>
      </c>
      <c r="V25" s="12">
        <v>0</v>
      </c>
      <c r="W25" s="13">
        <v>0</v>
      </c>
      <c r="X25" s="14"/>
    </row>
    <row r="26" spans="1:24" ht="30.6" x14ac:dyDescent="0.3">
      <c r="A26" s="8">
        <v>21</v>
      </c>
      <c r="B26" s="8" t="s">
        <v>100</v>
      </c>
      <c r="C26" s="8" t="s">
        <v>101</v>
      </c>
      <c r="D26" s="8"/>
      <c r="E26" s="8" t="s">
        <v>102</v>
      </c>
      <c r="F26" s="8"/>
      <c r="G26" s="8" t="s">
        <v>45</v>
      </c>
      <c r="H26" s="8" t="s">
        <v>102</v>
      </c>
      <c r="I26" s="8" t="s">
        <v>103</v>
      </c>
      <c r="J26" s="8" t="s">
        <v>41</v>
      </c>
      <c r="K26" s="8">
        <v>8</v>
      </c>
      <c r="L26" s="9">
        <v>46173</v>
      </c>
      <c r="M26" s="10">
        <v>8.3333333333333329E-2</v>
      </c>
      <c r="N26" s="9">
        <v>46173</v>
      </c>
      <c r="O26" s="10">
        <v>0.20833333333333334</v>
      </c>
      <c r="P26" s="11">
        <v>4195.24</v>
      </c>
      <c r="Q26" s="11">
        <v>0</v>
      </c>
      <c r="R26" s="8" t="s">
        <v>104</v>
      </c>
      <c r="S26" s="21" t="s">
        <v>29</v>
      </c>
      <c r="T26" s="12">
        <v>9042</v>
      </c>
      <c r="U26" s="15">
        <v>9042</v>
      </c>
      <c r="V26" s="12">
        <v>24000</v>
      </c>
      <c r="W26" s="13">
        <v>2160</v>
      </c>
      <c r="X26" s="14"/>
    </row>
    <row r="27" spans="1:24" ht="20.399999999999999" x14ac:dyDescent="0.3">
      <c r="A27" s="8">
        <v>22</v>
      </c>
      <c r="B27" s="8" t="s">
        <v>100</v>
      </c>
      <c r="C27" s="8" t="s">
        <v>105</v>
      </c>
      <c r="D27" s="8"/>
      <c r="E27" s="8" t="s">
        <v>106</v>
      </c>
      <c r="F27" s="8"/>
      <c r="G27" s="8" t="s">
        <v>45</v>
      </c>
      <c r="H27" s="8" t="s">
        <v>107</v>
      </c>
      <c r="I27" s="8" t="s">
        <v>108</v>
      </c>
      <c r="J27" s="8" t="s">
        <v>41</v>
      </c>
      <c r="K27" s="8">
        <v>3</v>
      </c>
      <c r="L27" s="9">
        <v>46172</v>
      </c>
      <c r="M27" s="10">
        <v>8.3333333333333329E-2</v>
      </c>
      <c r="N27" s="9">
        <v>46172</v>
      </c>
      <c r="O27" s="10">
        <v>0.20833333333333334</v>
      </c>
      <c r="P27" s="11">
        <v>692.48</v>
      </c>
      <c r="Q27" s="11">
        <v>0</v>
      </c>
      <c r="R27" s="8"/>
      <c r="S27" s="21" t="s">
        <v>29</v>
      </c>
      <c r="T27" s="12">
        <v>7065</v>
      </c>
      <c r="U27" s="15">
        <v>7065</v>
      </c>
      <c r="V27" s="12">
        <v>9000</v>
      </c>
      <c r="W27" s="13">
        <v>810</v>
      </c>
      <c r="X27" s="14"/>
    </row>
    <row r="28" spans="1:24" ht="30.6" x14ac:dyDescent="0.3">
      <c r="A28" s="8">
        <v>23</v>
      </c>
      <c r="B28" s="8" t="s">
        <v>100</v>
      </c>
      <c r="C28" s="22" t="s">
        <v>109</v>
      </c>
      <c r="D28" s="8"/>
      <c r="E28" s="8" t="s">
        <v>110</v>
      </c>
      <c r="F28" s="8"/>
      <c r="G28" s="8" t="s">
        <v>45</v>
      </c>
      <c r="H28" s="8" t="s">
        <v>107</v>
      </c>
      <c r="I28" s="8" t="s">
        <v>111</v>
      </c>
      <c r="J28" s="8" t="s">
        <v>41</v>
      </c>
      <c r="K28" s="8">
        <v>2.5</v>
      </c>
      <c r="L28" s="9">
        <v>46172</v>
      </c>
      <c r="M28" s="10">
        <v>8.3333333333333329E-2</v>
      </c>
      <c r="N28" s="9">
        <v>46172</v>
      </c>
      <c r="O28" s="10">
        <v>0.20833333333333334</v>
      </c>
      <c r="P28" s="11">
        <v>3045.24</v>
      </c>
      <c r="Q28" s="11">
        <v>0</v>
      </c>
      <c r="R28" s="8" t="s">
        <v>112</v>
      </c>
      <c r="S28" s="21" t="s">
        <v>29</v>
      </c>
      <c r="T28" s="12">
        <v>217</v>
      </c>
      <c r="U28" s="15">
        <v>217</v>
      </c>
      <c r="V28" s="12">
        <v>7500</v>
      </c>
      <c r="W28" s="13">
        <v>675</v>
      </c>
      <c r="X28" s="14"/>
    </row>
    <row r="29" spans="1:24" ht="40.799999999999997" x14ac:dyDescent="0.3">
      <c r="A29" s="8">
        <v>24</v>
      </c>
      <c r="B29" s="8" t="s">
        <v>113</v>
      </c>
      <c r="C29" s="8" t="s">
        <v>114</v>
      </c>
      <c r="D29" s="8" t="s">
        <v>115</v>
      </c>
      <c r="E29" s="8"/>
      <c r="F29" s="8"/>
      <c r="G29" s="8" t="s">
        <v>116</v>
      </c>
      <c r="H29" s="8" t="s">
        <v>117</v>
      </c>
      <c r="I29" s="8" t="s">
        <v>66</v>
      </c>
      <c r="J29" s="8" t="s">
        <v>28</v>
      </c>
      <c r="K29" s="8">
        <v>6.03</v>
      </c>
      <c r="L29" s="9">
        <v>46172</v>
      </c>
      <c r="M29" s="10">
        <v>0.125</v>
      </c>
      <c r="N29" s="9">
        <v>46172</v>
      </c>
      <c r="O29" s="10">
        <v>0.25</v>
      </c>
      <c r="P29" s="11">
        <v>600</v>
      </c>
      <c r="Q29" s="11">
        <v>0</v>
      </c>
      <c r="R29" s="8" t="s">
        <v>118</v>
      </c>
      <c r="S29" s="21" t="s">
        <v>66</v>
      </c>
      <c r="T29" s="12">
        <v>15946</v>
      </c>
      <c r="U29" s="15">
        <v>15946</v>
      </c>
      <c r="V29" s="12">
        <v>18090</v>
      </c>
      <c r="W29" s="13">
        <v>1628.1</v>
      </c>
      <c r="X29" s="14"/>
    </row>
    <row r="30" spans="1:24" ht="25.5" customHeight="1" x14ac:dyDescent="0.3">
      <c r="A30" s="8">
        <v>25</v>
      </c>
      <c r="B30" s="8" t="s">
        <v>113</v>
      </c>
      <c r="C30" s="8" t="s">
        <v>119</v>
      </c>
      <c r="D30" s="8"/>
      <c r="E30" s="8"/>
      <c r="F30" s="8" t="s">
        <v>120</v>
      </c>
      <c r="G30" s="8" t="s">
        <v>121</v>
      </c>
      <c r="H30" s="8" t="s">
        <v>122</v>
      </c>
      <c r="I30" s="8" t="s">
        <v>123</v>
      </c>
      <c r="J30" s="8" t="s">
        <v>41</v>
      </c>
      <c r="K30" s="8">
        <v>2.19</v>
      </c>
      <c r="L30" s="9">
        <v>46172</v>
      </c>
      <c r="M30" s="10">
        <v>0.125</v>
      </c>
      <c r="N30" s="9">
        <v>46172</v>
      </c>
      <c r="O30" s="10">
        <v>0.25</v>
      </c>
      <c r="P30" s="11">
        <v>900</v>
      </c>
      <c r="Q30" s="11">
        <v>0</v>
      </c>
      <c r="R30" s="8"/>
      <c r="S30" s="21" t="s">
        <v>4</v>
      </c>
      <c r="T30" s="12">
        <v>5862</v>
      </c>
      <c r="U30" s="15">
        <v>5862</v>
      </c>
      <c r="V30" s="12">
        <v>6570</v>
      </c>
      <c r="W30" s="13">
        <v>591.29999999999995</v>
      </c>
      <c r="X30" s="14"/>
    </row>
    <row r="31" spans="1:24" ht="20.399999999999999" x14ac:dyDescent="0.3">
      <c r="A31" s="23">
        <v>26</v>
      </c>
      <c r="B31" s="23" t="s">
        <v>22</v>
      </c>
      <c r="C31" s="23" t="s">
        <v>124</v>
      </c>
      <c r="D31" s="23"/>
      <c r="E31" s="23" t="s">
        <v>125</v>
      </c>
      <c r="F31" s="23"/>
      <c r="G31" s="23" t="s">
        <v>25</v>
      </c>
      <c r="H31" s="23" t="s">
        <v>126</v>
      </c>
      <c r="I31" s="23" t="s">
        <v>127</v>
      </c>
      <c r="J31" s="23" t="s">
        <v>41</v>
      </c>
      <c r="K31" s="23">
        <v>1.22</v>
      </c>
      <c r="L31" s="24">
        <v>46179</v>
      </c>
      <c r="M31" s="25">
        <v>0.125</v>
      </c>
      <c r="N31" s="24">
        <v>46179</v>
      </c>
      <c r="O31" s="25">
        <v>0.25</v>
      </c>
      <c r="P31" s="26">
        <v>400</v>
      </c>
      <c r="Q31" s="26">
        <v>0</v>
      </c>
      <c r="R31" s="23"/>
      <c r="S31" s="23" t="s">
        <v>29</v>
      </c>
      <c r="T31" s="27">
        <v>10655</v>
      </c>
      <c r="U31" s="27">
        <v>10655</v>
      </c>
      <c r="V31" s="27">
        <v>3660</v>
      </c>
      <c r="W31" s="28">
        <v>329.4</v>
      </c>
      <c r="X31" s="7"/>
    </row>
    <row r="32" spans="1:24" ht="51" x14ac:dyDescent="0.3">
      <c r="A32" s="23">
        <v>27</v>
      </c>
      <c r="B32" s="23" t="s">
        <v>35</v>
      </c>
      <c r="C32" s="23" t="s">
        <v>48</v>
      </c>
      <c r="D32" s="23"/>
      <c r="E32" s="23"/>
      <c r="F32" s="23" t="s">
        <v>128</v>
      </c>
      <c r="G32" s="23" t="s">
        <v>38</v>
      </c>
      <c r="H32" s="23" t="s">
        <v>128</v>
      </c>
      <c r="I32" s="23" t="s">
        <v>129</v>
      </c>
      <c r="J32" s="23" t="s">
        <v>28</v>
      </c>
      <c r="K32" s="23">
        <v>4</v>
      </c>
      <c r="L32" s="24">
        <v>46179</v>
      </c>
      <c r="M32" s="25">
        <v>0.29166666666666669</v>
      </c>
      <c r="N32" s="24">
        <v>46179</v>
      </c>
      <c r="O32" s="25">
        <v>0.41666666666666669</v>
      </c>
      <c r="P32" s="26">
        <v>9172.9500000000007</v>
      </c>
      <c r="Q32" s="26">
        <v>0</v>
      </c>
      <c r="R32" s="23" t="s">
        <v>130</v>
      </c>
      <c r="S32" s="23" t="s">
        <v>4</v>
      </c>
      <c r="T32" s="27">
        <v>3429</v>
      </c>
      <c r="U32" s="29">
        <v>3429</v>
      </c>
      <c r="V32" s="27">
        <v>12000</v>
      </c>
      <c r="W32" s="28">
        <v>1080</v>
      </c>
      <c r="X32" s="7"/>
    </row>
    <row r="33" spans="1:24" ht="40.799999999999997" x14ac:dyDescent="0.3">
      <c r="A33" s="23">
        <v>28</v>
      </c>
      <c r="B33" s="23" t="s">
        <v>35</v>
      </c>
      <c r="C33" s="23" t="s">
        <v>48</v>
      </c>
      <c r="D33" s="23"/>
      <c r="E33" s="23"/>
      <c r="F33" s="23" t="s">
        <v>131</v>
      </c>
      <c r="G33" s="23" t="s">
        <v>38</v>
      </c>
      <c r="H33" s="23" t="s">
        <v>132</v>
      </c>
      <c r="I33" s="23" t="s">
        <v>133</v>
      </c>
      <c r="J33" s="23" t="s">
        <v>28</v>
      </c>
      <c r="K33" s="23">
        <v>1.8</v>
      </c>
      <c r="L33" s="24">
        <v>46179</v>
      </c>
      <c r="M33" s="25">
        <v>0.29166666666666669</v>
      </c>
      <c r="N33" s="24">
        <v>46179</v>
      </c>
      <c r="O33" s="25">
        <v>0.41666666666666669</v>
      </c>
      <c r="P33" s="26">
        <v>7282.12</v>
      </c>
      <c r="Q33" s="26">
        <v>0</v>
      </c>
      <c r="R33" s="23" t="s">
        <v>134</v>
      </c>
      <c r="S33" s="23" t="s">
        <v>4</v>
      </c>
      <c r="T33" s="27">
        <v>5556</v>
      </c>
      <c r="U33" s="29">
        <v>5556</v>
      </c>
      <c r="V33" s="27">
        <v>5400</v>
      </c>
      <c r="W33" s="28">
        <v>486</v>
      </c>
      <c r="X33" s="7"/>
    </row>
    <row r="34" spans="1:24" ht="30.6" x14ac:dyDescent="0.3">
      <c r="A34" s="23">
        <v>29</v>
      </c>
      <c r="B34" s="23" t="s">
        <v>35</v>
      </c>
      <c r="C34" s="23" t="s">
        <v>48</v>
      </c>
      <c r="D34" s="23"/>
      <c r="E34" s="23"/>
      <c r="F34" s="23" t="s">
        <v>135</v>
      </c>
      <c r="G34" s="23" t="s">
        <v>38</v>
      </c>
      <c r="H34" s="23" t="s">
        <v>136</v>
      </c>
      <c r="I34" s="23" t="s">
        <v>137</v>
      </c>
      <c r="J34" s="23" t="s">
        <v>28</v>
      </c>
      <c r="K34" s="23">
        <v>2</v>
      </c>
      <c r="L34" s="24">
        <v>46180</v>
      </c>
      <c r="M34" s="25">
        <v>0.29166666666666669</v>
      </c>
      <c r="N34" s="24">
        <v>46180</v>
      </c>
      <c r="O34" s="25">
        <v>0.41666666666666669</v>
      </c>
      <c r="P34" s="26">
        <v>6002.05</v>
      </c>
      <c r="Q34" s="26">
        <v>0</v>
      </c>
      <c r="R34" s="23" t="s">
        <v>138</v>
      </c>
      <c r="S34" s="23" t="s">
        <v>4</v>
      </c>
      <c r="T34" s="27">
        <v>3353</v>
      </c>
      <c r="U34" s="29">
        <v>3353</v>
      </c>
      <c r="V34" s="27">
        <v>6000</v>
      </c>
      <c r="W34" s="28">
        <v>540</v>
      </c>
      <c r="X34" s="7"/>
    </row>
    <row r="35" spans="1:24" ht="51" x14ac:dyDescent="0.3">
      <c r="A35" s="23">
        <v>30</v>
      </c>
      <c r="B35" s="23" t="s">
        <v>35</v>
      </c>
      <c r="C35" s="23" t="s">
        <v>139</v>
      </c>
      <c r="D35" s="23"/>
      <c r="E35" s="23"/>
      <c r="F35" s="23" t="s">
        <v>140</v>
      </c>
      <c r="G35" s="23" t="s">
        <v>38</v>
      </c>
      <c r="H35" s="23" t="s">
        <v>140</v>
      </c>
      <c r="I35" s="23" t="s">
        <v>141</v>
      </c>
      <c r="J35" s="23" t="s">
        <v>28</v>
      </c>
      <c r="K35" s="23">
        <v>4.5</v>
      </c>
      <c r="L35" s="24">
        <v>46180</v>
      </c>
      <c r="M35" s="25">
        <v>0.29166666666666669</v>
      </c>
      <c r="N35" s="24">
        <v>46180</v>
      </c>
      <c r="O35" s="25">
        <v>0.41666666666666669</v>
      </c>
      <c r="P35" s="26">
        <v>10344.65</v>
      </c>
      <c r="Q35" s="26">
        <v>0</v>
      </c>
      <c r="R35" s="23" t="s">
        <v>130</v>
      </c>
      <c r="S35" s="23" t="s">
        <v>4</v>
      </c>
      <c r="T35" s="27">
        <v>2335</v>
      </c>
      <c r="U35" s="29">
        <v>2335</v>
      </c>
      <c r="V35" s="27">
        <v>13500</v>
      </c>
      <c r="W35" s="28">
        <v>1215</v>
      </c>
      <c r="X35" s="7"/>
    </row>
    <row r="36" spans="1:24" ht="20.399999999999999" x14ac:dyDescent="0.3">
      <c r="A36" s="23">
        <v>31</v>
      </c>
      <c r="B36" s="23" t="s">
        <v>35</v>
      </c>
      <c r="C36" s="23" t="s">
        <v>272</v>
      </c>
      <c r="D36" s="23"/>
      <c r="E36" s="23" t="s">
        <v>273</v>
      </c>
      <c r="F36" s="23"/>
      <c r="G36" s="23" t="s">
        <v>38</v>
      </c>
      <c r="H36" s="23" t="s">
        <v>274</v>
      </c>
      <c r="I36" s="23" t="s">
        <v>275</v>
      </c>
      <c r="J36" s="23" t="s">
        <v>28</v>
      </c>
      <c r="K36" s="23">
        <v>2</v>
      </c>
      <c r="L36" s="24">
        <v>46179</v>
      </c>
      <c r="M36" s="25">
        <v>0.25</v>
      </c>
      <c r="N36" s="24">
        <v>46179</v>
      </c>
      <c r="O36" s="25">
        <v>0.41666666666666669</v>
      </c>
      <c r="P36" s="26">
        <v>1830.76</v>
      </c>
      <c r="Q36" s="26">
        <v>0</v>
      </c>
      <c r="R36" s="23" t="s">
        <v>276</v>
      </c>
      <c r="S36" s="23" t="s">
        <v>29</v>
      </c>
      <c r="T36" s="27">
        <v>4763</v>
      </c>
      <c r="U36" s="29">
        <v>4763</v>
      </c>
      <c r="V36" s="27">
        <v>8000</v>
      </c>
      <c r="W36" s="28">
        <v>720</v>
      </c>
      <c r="X36" s="7" t="s">
        <v>288</v>
      </c>
    </row>
    <row r="37" spans="1:24" ht="20.399999999999999" x14ac:dyDescent="0.3">
      <c r="A37" s="23">
        <v>32</v>
      </c>
      <c r="B37" s="23" t="s">
        <v>35</v>
      </c>
      <c r="C37" s="23" t="s">
        <v>272</v>
      </c>
      <c r="D37" s="23"/>
      <c r="E37" s="23" t="s">
        <v>274</v>
      </c>
      <c r="F37" s="23"/>
      <c r="G37" s="23" t="s">
        <v>38</v>
      </c>
      <c r="H37" s="23" t="s">
        <v>274</v>
      </c>
      <c r="I37" s="23" t="s">
        <v>277</v>
      </c>
      <c r="J37" s="23" t="s">
        <v>28</v>
      </c>
      <c r="K37" s="23">
        <v>14</v>
      </c>
      <c r="L37" s="24">
        <v>46179</v>
      </c>
      <c r="M37" s="25">
        <v>0.25</v>
      </c>
      <c r="N37" s="24">
        <v>46179</v>
      </c>
      <c r="O37" s="25">
        <v>0.41666666666666669</v>
      </c>
      <c r="P37" s="26">
        <v>1830.76</v>
      </c>
      <c r="Q37" s="26">
        <v>0</v>
      </c>
      <c r="R37" s="23" t="s">
        <v>276</v>
      </c>
      <c r="S37" s="23" t="s">
        <v>29</v>
      </c>
      <c r="T37" s="27">
        <v>23387</v>
      </c>
      <c r="U37" s="29">
        <v>23387</v>
      </c>
      <c r="V37" s="27">
        <v>56000</v>
      </c>
      <c r="W37" s="28">
        <v>5040</v>
      </c>
      <c r="X37" s="7" t="s">
        <v>288</v>
      </c>
    </row>
    <row r="38" spans="1:24" ht="20.399999999999999" x14ac:dyDescent="0.3">
      <c r="A38" s="23">
        <v>33</v>
      </c>
      <c r="B38" s="23" t="s">
        <v>35</v>
      </c>
      <c r="C38" s="23" t="s">
        <v>272</v>
      </c>
      <c r="D38" s="23"/>
      <c r="E38" s="23" t="s">
        <v>132</v>
      </c>
      <c r="F38" s="23"/>
      <c r="G38" s="23" t="s">
        <v>38</v>
      </c>
      <c r="H38" s="23" t="s">
        <v>278</v>
      </c>
      <c r="I38" s="23" t="s">
        <v>279</v>
      </c>
      <c r="J38" s="23" t="s">
        <v>28</v>
      </c>
      <c r="K38" s="23">
        <v>14</v>
      </c>
      <c r="L38" s="24">
        <v>46179</v>
      </c>
      <c r="M38" s="25">
        <v>0.25</v>
      </c>
      <c r="N38" s="24">
        <v>46179</v>
      </c>
      <c r="O38" s="25">
        <v>0.41666666666666669</v>
      </c>
      <c r="P38" s="26">
        <v>1830.76</v>
      </c>
      <c r="Q38" s="26">
        <v>0</v>
      </c>
      <c r="R38" s="23" t="s">
        <v>276</v>
      </c>
      <c r="S38" s="23" t="s">
        <v>29</v>
      </c>
      <c r="T38" s="27">
        <v>14799</v>
      </c>
      <c r="U38" s="29">
        <v>14799</v>
      </c>
      <c r="V38" s="27">
        <v>56000</v>
      </c>
      <c r="W38" s="28">
        <v>5040</v>
      </c>
      <c r="X38" s="7" t="s">
        <v>288</v>
      </c>
    </row>
    <row r="39" spans="1:24" ht="20.399999999999999" x14ac:dyDescent="0.3">
      <c r="A39" s="23">
        <v>34</v>
      </c>
      <c r="B39" s="23" t="s">
        <v>35</v>
      </c>
      <c r="C39" s="23" t="s">
        <v>272</v>
      </c>
      <c r="D39" s="23"/>
      <c r="E39" s="23" t="s">
        <v>280</v>
      </c>
      <c r="F39" s="23"/>
      <c r="G39" s="23" t="s">
        <v>38</v>
      </c>
      <c r="H39" s="23" t="s">
        <v>280</v>
      </c>
      <c r="I39" s="23" t="s">
        <v>281</v>
      </c>
      <c r="J39" s="23" t="s">
        <v>28</v>
      </c>
      <c r="K39" s="23">
        <v>14</v>
      </c>
      <c r="L39" s="24">
        <v>46179</v>
      </c>
      <c r="M39" s="25">
        <v>0.25</v>
      </c>
      <c r="N39" s="24">
        <v>46179</v>
      </c>
      <c r="O39" s="25">
        <v>0.41666666666666669</v>
      </c>
      <c r="P39" s="26">
        <v>1830.76</v>
      </c>
      <c r="Q39" s="26">
        <v>0</v>
      </c>
      <c r="R39" s="23" t="s">
        <v>276</v>
      </c>
      <c r="S39" s="23" t="s">
        <v>29</v>
      </c>
      <c r="T39" s="27">
        <v>18838</v>
      </c>
      <c r="U39" s="29">
        <v>18838</v>
      </c>
      <c r="V39" s="27">
        <v>56000</v>
      </c>
      <c r="W39" s="28">
        <v>5040</v>
      </c>
      <c r="X39" s="7" t="s">
        <v>288</v>
      </c>
    </row>
    <row r="40" spans="1:24" ht="20.399999999999999" x14ac:dyDescent="0.3">
      <c r="A40" s="23">
        <v>35</v>
      </c>
      <c r="B40" s="23" t="s">
        <v>35</v>
      </c>
      <c r="C40" s="23" t="s">
        <v>272</v>
      </c>
      <c r="D40" s="23"/>
      <c r="E40" s="23" t="s">
        <v>282</v>
      </c>
      <c r="F40" s="23"/>
      <c r="G40" s="23" t="s">
        <v>38</v>
      </c>
      <c r="H40" s="23" t="s">
        <v>283</v>
      </c>
      <c r="I40" s="23" t="s">
        <v>284</v>
      </c>
      <c r="J40" s="23" t="s">
        <v>28</v>
      </c>
      <c r="K40" s="23">
        <v>3</v>
      </c>
      <c r="L40" s="24">
        <v>46179</v>
      </c>
      <c r="M40" s="25">
        <v>0.25</v>
      </c>
      <c r="N40" s="24">
        <v>46179</v>
      </c>
      <c r="O40" s="25">
        <v>0.41666666666666669</v>
      </c>
      <c r="P40" s="26">
        <v>1830.76</v>
      </c>
      <c r="Q40" s="26">
        <v>0</v>
      </c>
      <c r="R40" s="23" t="s">
        <v>276</v>
      </c>
      <c r="S40" s="23" t="s">
        <v>29</v>
      </c>
      <c r="T40" s="27">
        <v>9605</v>
      </c>
      <c r="U40" s="29">
        <v>9605</v>
      </c>
      <c r="V40" s="27">
        <v>12000</v>
      </c>
      <c r="W40" s="28">
        <v>1080</v>
      </c>
      <c r="X40" s="7" t="s">
        <v>288</v>
      </c>
    </row>
    <row r="41" spans="1:24" ht="40.799999999999997" x14ac:dyDescent="0.3">
      <c r="A41" s="23">
        <v>36</v>
      </c>
      <c r="B41" s="23" t="s">
        <v>35</v>
      </c>
      <c r="C41" s="23" t="s">
        <v>272</v>
      </c>
      <c r="D41" s="23"/>
      <c r="E41" s="23" t="s">
        <v>285</v>
      </c>
      <c r="F41" s="23"/>
      <c r="G41" s="23" t="s">
        <v>38</v>
      </c>
      <c r="H41" s="23" t="s">
        <v>286</v>
      </c>
      <c r="I41" s="23" t="s">
        <v>287</v>
      </c>
      <c r="J41" s="23" t="s">
        <v>28</v>
      </c>
      <c r="K41" s="23">
        <v>25</v>
      </c>
      <c r="L41" s="24">
        <v>46179</v>
      </c>
      <c r="M41" s="25">
        <v>0.25</v>
      </c>
      <c r="N41" s="24">
        <v>46179</v>
      </c>
      <c r="O41" s="25">
        <v>0.41666666666666669</v>
      </c>
      <c r="P41" s="26">
        <v>1830.76</v>
      </c>
      <c r="Q41" s="26">
        <v>0</v>
      </c>
      <c r="R41" s="23" t="s">
        <v>276</v>
      </c>
      <c r="S41" s="23" t="s">
        <v>29</v>
      </c>
      <c r="T41" s="27">
        <v>29362</v>
      </c>
      <c r="U41" s="29">
        <v>29362</v>
      </c>
      <c r="V41" s="27">
        <v>100000</v>
      </c>
      <c r="W41" s="28">
        <v>9000</v>
      </c>
      <c r="X41" s="7" t="s">
        <v>288</v>
      </c>
    </row>
    <row r="42" spans="1:24" ht="30.6" x14ac:dyDescent="0.3">
      <c r="A42" s="23">
        <v>37</v>
      </c>
      <c r="B42" s="23" t="s">
        <v>142</v>
      </c>
      <c r="C42" s="23" t="s">
        <v>143</v>
      </c>
      <c r="D42" s="23"/>
      <c r="E42" s="23" t="s">
        <v>144</v>
      </c>
      <c r="F42" s="23"/>
      <c r="G42" s="23" t="s">
        <v>145</v>
      </c>
      <c r="H42" s="23" t="s">
        <v>146</v>
      </c>
      <c r="I42" s="23" t="s">
        <v>147</v>
      </c>
      <c r="J42" s="23" t="s">
        <v>28</v>
      </c>
      <c r="K42" s="23">
        <v>2.54</v>
      </c>
      <c r="L42" s="24">
        <v>46179</v>
      </c>
      <c r="M42" s="25">
        <v>0.125</v>
      </c>
      <c r="N42" s="24">
        <v>46179</v>
      </c>
      <c r="O42" s="25">
        <v>0.25</v>
      </c>
      <c r="P42" s="26">
        <v>18426.349999999999</v>
      </c>
      <c r="Q42" s="26">
        <v>0</v>
      </c>
      <c r="R42" s="23" t="s">
        <v>148</v>
      </c>
      <c r="S42" s="23" t="s">
        <v>29</v>
      </c>
      <c r="T42" s="27">
        <v>5442</v>
      </c>
      <c r="U42" s="29">
        <v>5442</v>
      </c>
      <c r="V42" s="27">
        <v>7620</v>
      </c>
      <c r="W42" s="28">
        <v>685.8</v>
      </c>
      <c r="X42" s="7"/>
    </row>
    <row r="43" spans="1:24" ht="30.6" x14ac:dyDescent="0.3">
      <c r="A43" s="23">
        <v>38</v>
      </c>
      <c r="B43" s="23" t="s">
        <v>142</v>
      </c>
      <c r="C43" s="23" t="s">
        <v>149</v>
      </c>
      <c r="D43" s="23" t="s">
        <v>150</v>
      </c>
      <c r="E43" s="23"/>
      <c r="F43" s="23"/>
      <c r="G43" s="23" t="s">
        <v>145</v>
      </c>
      <c r="H43" s="23" t="s">
        <v>151</v>
      </c>
      <c r="I43" s="23" t="s">
        <v>66</v>
      </c>
      <c r="J43" s="23" t="s">
        <v>28</v>
      </c>
      <c r="K43" s="23">
        <v>19.850000000000001</v>
      </c>
      <c r="L43" s="24">
        <v>46180</v>
      </c>
      <c r="M43" s="25">
        <v>0.125</v>
      </c>
      <c r="N43" s="24">
        <v>46180</v>
      </c>
      <c r="O43" s="25">
        <v>0.25</v>
      </c>
      <c r="P43" s="26">
        <v>4000</v>
      </c>
      <c r="Q43" s="30">
        <v>0</v>
      </c>
      <c r="R43" s="23" t="s">
        <v>148</v>
      </c>
      <c r="S43" s="23" t="s">
        <v>66</v>
      </c>
      <c r="T43" s="27">
        <v>26127</v>
      </c>
      <c r="U43" s="29">
        <v>26127</v>
      </c>
      <c r="V43" s="27">
        <v>59550</v>
      </c>
      <c r="W43" s="28">
        <v>5359.5</v>
      </c>
      <c r="X43" s="7"/>
    </row>
    <row r="44" spans="1:24" ht="20.399999999999999" x14ac:dyDescent="0.3">
      <c r="A44" s="23">
        <v>39</v>
      </c>
      <c r="B44" s="23" t="s">
        <v>56</v>
      </c>
      <c r="C44" s="23" t="s">
        <v>152</v>
      </c>
      <c r="D44" s="23"/>
      <c r="E44" s="23" t="s">
        <v>58</v>
      </c>
      <c r="F44" s="23"/>
      <c r="G44" s="23" t="s">
        <v>59</v>
      </c>
      <c r="H44" s="23" t="s">
        <v>60</v>
      </c>
      <c r="I44" s="23" t="s">
        <v>61</v>
      </c>
      <c r="J44" s="23" t="s">
        <v>41</v>
      </c>
      <c r="K44" s="23">
        <v>7.5</v>
      </c>
      <c r="L44" s="31">
        <v>46179</v>
      </c>
      <c r="M44" s="25">
        <v>0.125</v>
      </c>
      <c r="N44" s="31">
        <v>46179</v>
      </c>
      <c r="O44" s="25">
        <v>0.25</v>
      </c>
      <c r="P44" s="26">
        <v>1500</v>
      </c>
      <c r="Q44" s="26"/>
      <c r="R44" s="23" t="s">
        <v>62</v>
      </c>
      <c r="S44" s="23" t="s">
        <v>29</v>
      </c>
      <c r="T44" s="32">
        <v>13379</v>
      </c>
      <c r="U44" s="33">
        <v>13379</v>
      </c>
      <c r="V44" s="32">
        <v>22500</v>
      </c>
      <c r="W44" s="28">
        <v>2025</v>
      </c>
      <c r="X44" s="7"/>
    </row>
    <row r="45" spans="1:24" ht="20.399999999999999" x14ac:dyDescent="0.3">
      <c r="A45" s="23">
        <v>40</v>
      </c>
      <c r="B45" s="23" t="s">
        <v>56</v>
      </c>
      <c r="C45" s="23" t="s">
        <v>153</v>
      </c>
      <c r="D45" s="23" t="s">
        <v>154</v>
      </c>
      <c r="E45" s="23"/>
      <c r="F45" s="23"/>
      <c r="G45" s="23" t="s">
        <v>59</v>
      </c>
      <c r="H45" s="23" t="s">
        <v>80</v>
      </c>
      <c r="I45" s="23"/>
      <c r="J45" s="23" t="s">
        <v>67</v>
      </c>
      <c r="K45" s="23">
        <v>220</v>
      </c>
      <c r="L45" s="24">
        <v>46180</v>
      </c>
      <c r="M45" s="25">
        <v>0.125</v>
      </c>
      <c r="N45" s="24">
        <v>46180</v>
      </c>
      <c r="O45" s="25">
        <v>0.25</v>
      </c>
      <c r="P45" s="26">
        <v>6800</v>
      </c>
      <c r="Q45" s="26"/>
      <c r="R45" s="23" t="s">
        <v>62</v>
      </c>
      <c r="S45" s="23" t="s">
        <v>66</v>
      </c>
      <c r="T45" s="27">
        <v>41887</v>
      </c>
      <c r="U45" s="29">
        <v>41887</v>
      </c>
      <c r="V45" s="27">
        <v>660000</v>
      </c>
      <c r="W45" s="28">
        <v>59400</v>
      </c>
      <c r="X45" s="7"/>
    </row>
    <row r="46" spans="1:24" ht="20.399999999999999" x14ac:dyDescent="0.3">
      <c r="A46" s="23">
        <v>41</v>
      </c>
      <c r="B46" s="23" t="s">
        <v>56</v>
      </c>
      <c r="C46" s="23" t="s">
        <v>299</v>
      </c>
      <c r="D46" s="23"/>
      <c r="E46" s="23" t="s">
        <v>300</v>
      </c>
      <c r="F46" s="23" t="s">
        <v>300</v>
      </c>
      <c r="G46" s="23"/>
      <c r="H46" s="23"/>
      <c r="I46" s="23" t="s">
        <v>301</v>
      </c>
      <c r="J46" s="23" t="s">
        <v>28</v>
      </c>
      <c r="K46" s="23">
        <v>3</v>
      </c>
      <c r="L46" s="24">
        <v>46179</v>
      </c>
      <c r="M46" s="25">
        <v>0</v>
      </c>
      <c r="N46" s="24">
        <v>46179</v>
      </c>
      <c r="O46" s="25">
        <v>0.125</v>
      </c>
      <c r="P46" s="26">
        <v>1350</v>
      </c>
      <c r="Q46" s="26">
        <v>0</v>
      </c>
      <c r="R46" s="23" t="s">
        <v>62</v>
      </c>
      <c r="S46" s="23" t="s">
        <v>4</v>
      </c>
      <c r="T46" s="27">
        <v>6880</v>
      </c>
      <c r="U46" s="29">
        <v>6880</v>
      </c>
      <c r="V46" s="27">
        <v>9000</v>
      </c>
      <c r="W46" s="28">
        <v>810</v>
      </c>
      <c r="X46" s="7" t="s">
        <v>288</v>
      </c>
    </row>
    <row r="47" spans="1:24" ht="51" x14ac:dyDescent="0.3">
      <c r="A47" s="23">
        <v>42</v>
      </c>
      <c r="B47" s="23" t="s">
        <v>56</v>
      </c>
      <c r="C47" s="23" t="s">
        <v>302</v>
      </c>
      <c r="D47" s="23"/>
      <c r="E47" s="23" t="s">
        <v>303</v>
      </c>
      <c r="F47" s="23" t="s">
        <v>303</v>
      </c>
      <c r="G47" s="23"/>
      <c r="H47" s="23"/>
      <c r="I47" s="23" t="s">
        <v>304</v>
      </c>
      <c r="J47" s="23" t="s">
        <v>251</v>
      </c>
      <c r="K47" s="23">
        <v>2</v>
      </c>
      <c r="L47" s="24">
        <v>46179</v>
      </c>
      <c r="M47" s="25">
        <v>0</v>
      </c>
      <c r="N47" s="24">
        <v>46179</v>
      </c>
      <c r="O47" s="25">
        <v>0.125</v>
      </c>
      <c r="P47" s="26">
        <v>4500</v>
      </c>
      <c r="Q47" s="26">
        <v>0</v>
      </c>
      <c r="R47" s="23" t="s">
        <v>62</v>
      </c>
      <c r="S47" s="23" t="s">
        <v>4</v>
      </c>
      <c r="T47" s="27">
        <v>4244</v>
      </c>
      <c r="U47" s="29">
        <v>4244</v>
      </c>
      <c r="V47" s="27">
        <v>6000</v>
      </c>
      <c r="W47" s="28">
        <v>540</v>
      </c>
      <c r="X47" s="7" t="s">
        <v>288</v>
      </c>
    </row>
    <row r="48" spans="1:24" ht="20.399999999999999" x14ac:dyDescent="0.3">
      <c r="A48" s="23">
        <v>43</v>
      </c>
      <c r="B48" s="23" t="s">
        <v>56</v>
      </c>
      <c r="C48" s="23" t="s">
        <v>305</v>
      </c>
      <c r="D48" s="23"/>
      <c r="E48" s="23" t="s">
        <v>306</v>
      </c>
      <c r="F48" s="23"/>
      <c r="G48" s="23"/>
      <c r="H48" s="23"/>
      <c r="I48" s="23" t="s">
        <v>307</v>
      </c>
      <c r="J48" s="23" t="s">
        <v>41</v>
      </c>
      <c r="K48" s="23">
        <v>2.5</v>
      </c>
      <c r="L48" s="24">
        <v>46179</v>
      </c>
      <c r="M48" s="25">
        <v>0.125</v>
      </c>
      <c r="N48" s="24">
        <v>46179</v>
      </c>
      <c r="O48" s="25">
        <v>0.25</v>
      </c>
      <c r="P48" s="26">
        <v>2500</v>
      </c>
      <c r="Q48" s="26">
        <v>0</v>
      </c>
      <c r="R48" s="23" t="s">
        <v>62</v>
      </c>
      <c r="S48" s="23" t="s">
        <v>66</v>
      </c>
      <c r="T48" s="27">
        <v>4653</v>
      </c>
      <c r="U48" s="29">
        <v>4653</v>
      </c>
      <c r="V48" s="27">
        <v>7500</v>
      </c>
      <c r="W48" s="28">
        <v>675</v>
      </c>
      <c r="X48" s="7" t="s">
        <v>288</v>
      </c>
    </row>
    <row r="49" spans="1:24" ht="61.2" x14ac:dyDescent="0.3">
      <c r="A49" s="23">
        <v>44</v>
      </c>
      <c r="B49" s="23" t="s">
        <v>56</v>
      </c>
      <c r="C49" s="23" t="s">
        <v>308</v>
      </c>
      <c r="D49" s="23"/>
      <c r="E49" s="23" t="s">
        <v>300</v>
      </c>
      <c r="F49" s="23"/>
      <c r="G49" s="23"/>
      <c r="H49" s="23"/>
      <c r="I49" s="23" t="s">
        <v>309</v>
      </c>
      <c r="J49" s="23" t="s">
        <v>41</v>
      </c>
      <c r="K49" s="23">
        <v>4.5999999999999996</v>
      </c>
      <c r="L49" s="24">
        <v>46179</v>
      </c>
      <c r="M49" s="25">
        <v>0.33333333333333331</v>
      </c>
      <c r="N49" s="24">
        <v>46179</v>
      </c>
      <c r="O49" s="25">
        <v>0.45833333333333331</v>
      </c>
      <c r="P49" s="26">
        <v>1350</v>
      </c>
      <c r="Q49" s="26">
        <v>0</v>
      </c>
      <c r="R49" s="23" t="s">
        <v>310</v>
      </c>
      <c r="S49" s="23" t="s">
        <v>29</v>
      </c>
      <c r="T49" s="27">
        <v>6291</v>
      </c>
      <c r="U49" s="29">
        <v>6291</v>
      </c>
      <c r="V49" s="27">
        <v>13800</v>
      </c>
      <c r="W49" s="28">
        <v>1242</v>
      </c>
      <c r="X49" s="7" t="s">
        <v>288</v>
      </c>
    </row>
    <row r="50" spans="1:24" ht="20.399999999999999" x14ac:dyDescent="0.3">
      <c r="A50" s="23">
        <v>45</v>
      </c>
      <c r="B50" s="23" t="s">
        <v>56</v>
      </c>
      <c r="C50" s="23" t="s">
        <v>311</v>
      </c>
      <c r="D50" s="23"/>
      <c r="E50" s="23" t="s">
        <v>312</v>
      </c>
      <c r="F50" s="23"/>
      <c r="G50" s="23"/>
      <c r="H50" s="23"/>
      <c r="I50" s="23" t="s">
        <v>313</v>
      </c>
      <c r="J50" s="23" t="s">
        <v>41</v>
      </c>
      <c r="K50" s="23">
        <v>20.5</v>
      </c>
      <c r="L50" s="24">
        <v>46179</v>
      </c>
      <c r="M50" s="25">
        <v>0.125</v>
      </c>
      <c r="N50" s="24">
        <v>46179</v>
      </c>
      <c r="O50" s="25">
        <v>0.25</v>
      </c>
      <c r="P50" s="26">
        <v>1850</v>
      </c>
      <c r="Q50" s="26">
        <v>0</v>
      </c>
      <c r="R50" s="23" t="s">
        <v>62</v>
      </c>
      <c r="S50" s="23" t="s">
        <v>29</v>
      </c>
      <c r="T50" s="27">
        <v>29908</v>
      </c>
      <c r="U50" s="29">
        <v>29908</v>
      </c>
      <c r="V50" s="27">
        <v>61500</v>
      </c>
      <c r="W50" s="28">
        <v>5535</v>
      </c>
      <c r="X50" s="7" t="s">
        <v>288</v>
      </c>
    </row>
    <row r="51" spans="1:24" ht="30.6" x14ac:dyDescent="0.3">
      <c r="A51" s="23">
        <v>46</v>
      </c>
      <c r="B51" s="23" t="s">
        <v>56</v>
      </c>
      <c r="C51" s="23" t="s">
        <v>314</v>
      </c>
      <c r="D51" s="23"/>
      <c r="E51" s="23" t="s">
        <v>303</v>
      </c>
      <c r="F51" s="23"/>
      <c r="G51" s="23"/>
      <c r="H51" s="23"/>
      <c r="I51" s="23" t="s">
        <v>315</v>
      </c>
      <c r="J51" s="23" t="s">
        <v>41</v>
      </c>
      <c r="K51" s="23">
        <v>7.8</v>
      </c>
      <c r="L51" s="24">
        <v>46179</v>
      </c>
      <c r="M51" s="25">
        <v>0.33333333333333331</v>
      </c>
      <c r="N51" s="24">
        <v>46179</v>
      </c>
      <c r="O51" s="25">
        <v>0.45833333333333331</v>
      </c>
      <c r="P51" s="26">
        <v>1350</v>
      </c>
      <c r="Q51" s="26">
        <v>0</v>
      </c>
      <c r="R51" s="23" t="s">
        <v>316</v>
      </c>
      <c r="S51" s="23" t="s">
        <v>29</v>
      </c>
      <c r="T51" s="27">
        <v>11667</v>
      </c>
      <c r="U51" s="29">
        <v>11667</v>
      </c>
      <c r="V51" s="27">
        <v>23400</v>
      </c>
      <c r="W51" s="28">
        <v>2106</v>
      </c>
      <c r="X51" s="7" t="s">
        <v>288</v>
      </c>
    </row>
    <row r="52" spans="1:24" ht="71.400000000000006" x14ac:dyDescent="0.3">
      <c r="A52" s="23">
        <v>47</v>
      </c>
      <c r="B52" s="23" t="s">
        <v>82</v>
      </c>
      <c r="C52" s="34" t="s">
        <v>155</v>
      </c>
      <c r="D52" s="23"/>
      <c r="E52" s="23" t="s">
        <v>156</v>
      </c>
      <c r="F52" s="23"/>
      <c r="G52" s="23" t="s">
        <v>85</v>
      </c>
      <c r="H52" s="23" t="s">
        <v>156</v>
      </c>
      <c r="I52" s="23" t="s">
        <v>157</v>
      </c>
      <c r="J52" s="23" t="s">
        <v>41</v>
      </c>
      <c r="K52" s="23">
        <v>4.5</v>
      </c>
      <c r="L52" s="35">
        <v>46179</v>
      </c>
      <c r="M52" s="25">
        <v>0.125</v>
      </c>
      <c r="N52" s="35">
        <v>46179</v>
      </c>
      <c r="O52" s="25">
        <v>0.25</v>
      </c>
      <c r="P52" s="26">
        <v>10370.73</v>
      </c>
      <c r="Q52" s="26">
        <v>0</v>
      </c>
      <c r="R52" s="23" t="s">
        <v>158</v>
      </c>
      <c r="S52" s="36" t="s">
        <v>29</v>
      </c>
      <c r="T52" s="27">
        <v>6545</v>
      </c>
      <c r="U52" s="29">
        <v>10674</v>
      </c>
      <c r="V52" s="27">
        <v>13500</v>
      </c>
      <c r="W52" s="28">
        <v>1215</v>
      </c>
      <c r="X52" s="7"/>
    </row>
    <row r="53" spans="1:24" ht="20.399999999999999" x14ac:dyDescent="0.3">
      <c r="A53" s="23">
        <v>48</v>
      </c>
      <c r="B53" s="23" t="s">
        <v>94</v>
      </c>
      <c r="C53" s="23" t="s">
        <v>159</v>
      </c>
      <c r="D53" s="23"/>
      <c r="E53" s="23" t="s">
        <v>160</v>
      </c>
      <c r="F53" s="23" t="s">
        <v>161</v>
      </c>
      <c r="G53" s="23" t="s">
        <v>97</v>
      </c>
      <c r="H53" s="23" t="s">
        <v>162</v>
      </c>
      <c r="I53" s="23" t="s">
        <v>163</v>
      </c>
      <c r="J53" s="23" t="s">
        <v>28</v>
      </c>
      <c r="K53" s="23">
        <v>3.8</v>
      </c>
      <c r="L53" s="24">
        <v>46180</v>
      </c>
      <c r="M53" s="25">
        <v>0.125</v>
      </c>
      <c r="N53" s="24">
        <v>46180</v>
      </c>
      <c r="O53" s="25">
        <v>0.25</v>
      </c>
      <c r="P53" s="26">
        <v>4000</v>
      </c>
      <c r="Q53" s="26">
        <v>0</v>
      </c>
      <c r="R53" s="23" t="s">
        <v>164</v>
      </c>
      <c r="S53" s="36" t="s">
        <v>4</v>
      </c>
      <c r="T53" s="27">
        <v>4273</v>
      </c>
      <c r="U53" s="29">
        <v>4273</v>
      </c>
      <c r="V53" s="27">
        <v>11400</v>
      </c>
      <c r="W53" s="28">
        <v>1026</v>
      </c>
      <c r="X53" s="7"/>
    </row>
    <row r="54" spans="1:24" ht="30.6" x14ac:dyDescent="0.3">
      <c r="A54" s="23">
        <v>49</v>
      </c>
      <c r="B54" s="23" t="s">
        <v>100</v>
      </c>
      <c r="C54" s="23" t="s">
        <v>165</v>
      </c>
      <c r="D54" s="23"/>
      <c r="E54" s="23" t="s">
        <v>166</v>
      </c>
      <c r="F54" s="23"/>
      <c r="G54" s="23" t="s">
        <v>45</v>
      </c>
      <c r="H54" s="23" t="s">
        <v>107</v>
      </c>
      <c r="I54" s="23" t="s">
        <v>167</v>
      </c>
      <c r="J54" s="23" t="s">
        <v>41</v>
      </c>
      <c r="K54" s="23">
        <v>12</v>
      </c>
      <c r="L54" s="24">
        <v>46180</v>
      </c>
      <c r="M54" s="25">
        <v>8.3333333333333329E-2</v>
      </c>
      <c r="N54" s="24">
        <v>46180</v>
      </c>
      <c r="O54" s="25">
        <v>0.20833333333333334</v>
      </c>
      <c r="P54" s="26">
        <v>3045.24</v>
      </c>
      <c r="Q54" s="26">
        <v>0</v>
      </c>
      <c r="R54" s="23"/>
      <c r="S54" s="36" t="s">
        <v>29</v>
      </c>
      <c r="T54" s="27">
        <v>9119</v>
      </c>
      <c r="U54" s="29">
        <v>9119</v>
      </c>
      <c r="V54" s="27">
        <v>36000</v>
      </c>
      <c r="W54" s="28">
        <v>3240</v>
      </c>
      <c r="X54" s="7"/>
    </row>
    <row r="55" spans="1:24" ht="40.799999999999997" x14ac:dyDescent="0.3">
      <c r="A55" s="23">
        <v>50</v>
      </c>
      <c r="B55" s="23" t="s">
        <v>100</v>
      </c>
      <c r="C55" s="37" t="s">
        <v>168</v>
      </c>
      <c r="D55" s="23"/>
      <c r="E55" s="23" t="s">
        <v>169</v>
      </c>
      <c r="F55" s="23"/>
      <c r="G55" s="23" t="s">
        <v>45</v>
      </c>
      <c r="H55" s="23" t="s">
        <v>170</v>
      </c>
      <c r="I55" s="23" t="s">
        <v>171</v>
      </c>
      <c r="J55" s="23" t="s">
        <v>41</v>
      </c>
      <c r="K55" s="23">
        <v>7</v>
      </c>
      <c r="L55" s="24">
        <v>46179</v>
      </c>
      <c r="M55" s="25">
        <v>8.3333333333333329E-2</v>
      </c>
      <c r="N55" s="24">
        <v>46179</v>
      </c>
      <c r="O55" s="25">
        <v>0.20833333333333334</v>
      </c>
      <c r="P55" s="26">
        <v>5765.24</v>
      </c>
      <c r="Q55" s="26">
        <v>0</v>
      </c>
      <c r="R55" s="23"/>
      <c r="S55" s="36" t="s">
        <v>29</v>
      </c>
      <c r="T55" s="27">
        <v>11724</v>
      </c>
      <c r="U55" s="29">
        <v>11724</v>
      </c>
      <c r="V55" s="27">
        <v>21000</v>
      </c>
      <c r="W55" s="28">
        <v>1890</v>
      </c>
      <c r="X55" s="7"/>
    </row>
    <row r="56" spans="1:24" ht="20.399999999999999" x14ac:dyDescent="0.3">
      <c r="A56" s="23">
        <v>51</v>
      </c>
      <c r="B56" s="23" t="s">
        <v>113</v>
      </c>
      <c r="C56" s="23" t="s">
        <v>172</v>
      </c>
      <c r="D56" s="23"/>
      <c r="E56" s="23" t="s">
        <v>173</v>
      </c>
      <c r="F56" s="23"/>
      <c r="G56" s="23" t="s">
        <v>116</v>
      </c>
      <c r="H56" s="23" t="s">
        <v>174</v>
      </c>
      <c r="I56" s="23" t="s">
        <v>175</v>
      </c>
      <c r="J56" s="23" t="s">
        <v>28</v>
      </c>
      <c r="K56" s="23">
        <v>13.59</v>
      </c>
      <c r="L56" s="24">
        <v>46179</v>
      </c>
      <c r="M56" s="25">
        <v>0.125</v>
      </c>
      <c r="N56" s="24">
        <v>46179</v>
      </c>
      <c r="O56" s="25">
        <v>0.25</v>
      </c>
      <c r="P56" s="26">
        <v>1500</v>
      </c>
      <c r="Q56" s="26">
        <v>0</v>
      </c>
      <c r="R56" s="23"/>
      <c r="S56" s="36" t="s">
        <v>29</v>
      </c>
      <c r="T56" s="27">
        <v>27109</v>
      </c>
      <c r="U56" s="29">
        <v>27109</v>
      </c>
      <c r="V56" s="27">
        <v>40770</v>
      </c>
      <c r="W56" s="28">
        <v>3669.2999999999997</v>
      </c>
      <c r="X56" s="7"/>
    </row>
    <row r="57" spans="1:24" s="56" customFormat="1" ht="42.75" customHeight="1" x14ac:dyDescent="0.2">
      <c r="A57" s="23">
        <v>52</v>
      </c>
      <c r="B57" s="23" t="s">
        <v>82</v>
      </c>
      <c r="C57" s="34" t="s">
        <v>176</v>
      </c>
      <c r="D57" s="23"/>
      <c r="E57" s="23" t="s">
        <v>177</v>
      </c>
      <c r="F57" s="23"/>
      <c r="G57" s="23" t="s">
        <v>85</v>
      </c>
      <c r="H57" s="23" t="s">
        <v>183</v>
      </c>
      <c r="I57" s="23" t="s">
        <v>178</v>
      </c>
      <c r="J57" s="23" t="s">
        <v>41</v>
      </c>
      <c r="K57" s="23">
        <v>8.5</v>
      </c>
      <c r="L57" s="35">
        <v>46180</v>
      </c>
      <c r="M57" s="25">
        <v>0.125</v>
      </c>
      <c r="N57" s="35">
        <v>46180</v>
      </c>
      <c r="O57" s="25">
        <v>0.25</v>
      </c>
      <c r="P57" s="26">
        <v>55048.43</v>
      </c>
      <c r="Q57" s="26">
        <v>0</v>
      </c>
      <c r="R57" s="23" t="s">
        <v>179</v>
      </c>
      <c r="S57" s="36" t="s">
        <v>29</v>
      </c>
      <c r="T57" s="27">
        <v>5273</v>
      </c>
      <c r="U57" s="27">
        <v>14892</v>
      </c>
      <c r="V57" s="27">
        <v>25500</v>
      </c>
      <c r="W57" s="28">
        <v>2295</v>
      </c>
      <c r="X57" s="55"/>
    </row>
    <row r="58" spans="1:24" s="56" customFormat="1" ht="51" x14ac:dyDescent="0.2">
      <c r="A58" s="23">
        <v>53</v>
      </c>
      <c r="B58" s="23" t="s">
        <v>94</v>
      </c>
      <c r="C58" s="23" t="s">
        <v>180</v>
      </c>
      <c r="D58" s="23" t="s">
        <v>181</v>
      </c>
      <c r="E58" s="23" t="s">
        <v>182</v>
      </c>
      <c r="F58" s="23"/>
      <c r="G58" s="23" t="s">
        <v>97</v>
      </c>
      <c r="H58" s="23" t="s">
        <v>98</v>
      </c>
      <c r="I58" s="23" t="s">
        <v>66</v>
      </c>
      <c r="J58" s="23" t="s">
        <v>28</v>
      </c>
      <c r="K58" s="23">
        <v>32</v>
      </c>
      <c r="L58" s="24">
        <v>46179</v>
      </c>
      <c r="M58" s="25">
        <v>0.25</v>
      </c>
      <c r="N58" s="24">
        <v>46179</v>
      </c>
      <c r="O58" s="25">
        <v>0.375</v>
      </c>
      <c r="P58" s="26">
        <v>19234</v>
      </c>
      <c r="Q58" s="26">
        <v>0</v>
      </c>
      <c r="R58" s="23" t="s">
        <v>99</v>
      </c>
      <c r="S58" s="36" t="s">
        <v>66</v>
      </c>
      <c r="T58" s="27">
        <v>19764</v>
      </c>
      <c r="U58" s="23">
        <v>19764</v>
      </c>
      <c r="V58" s="27">
        <v>96000</v>
      </c>
      <c r="W58" s="28">
        <v>8640</v>
      </c>
      <c r="X58" s="55"/>
    </row>
    <row r="59" spans="1:24" s="39" customFormat="1" ht="20.399999999999999" x14ac:dyDescent="0.2">
      <c r="A59" s="40">
        <v>54</v>
      </c>
      <c r="B59" s="40" t="s">
        <v>22</v>
      </c>
      <c r="C59" s="40" t="s">
        <v>193</v>
      </c>
      <c r="D59" s="40"/>
      <c r="E59" s="40"/>
      <c r="F59" s="40" t="s">
        <v>194</v>
      </c>
      <c r="G59" s="40" t="s">
        <v>290</v>
      </c>
      <c r="H59" s="40" t="s">
        <v>289</v>
      </c>
      <c r="I59" s="40" t="s">
        <v>195</v>
      </c>
      <c r="J59" s="40" t="s">
        <v>28</v>
      </c>
      <c r="K59" s="40">
        <v>0.18</v>
      </c>
      <c r="L59" s="41">
        <v>46179</v>
      </c>
      <c r="M59" s="42">
        <v>0.375</v>
      </c>
      <c r="N59" s="41">
        <v>46179</v>
      </c>
      <c r="O59" s="42">
        <v>0.5</v>
      </c>
      <c r="P59" s="43">
        <v>12159.84</v>
      </c>
      <c r="Q59" s="43">
        <v>0</v>
      </c>
      <c r="R59" s="40" t="s">
        <v>196</v>
      </c>
      <c r="S59" s="40" t="s">
        <v>4</v>
      </c>
      <c r="T59" s="44">
        <v>350</v>
      </c>
      <c r="U59" s="45"/>
      <c r="V59" s="44">
        <v>540</v>
      </c>
      <c r="W59" s="46">
        <v>48.6</v>
      </c>
    </row>
    <row r="60" spans="1:24" s="39" customFormat="1" ht="20.399999999999999" x14ac:dyDescent="0.2">
      <c r="A60" s="40">
        <v>55</v>
      </c>
      <c r="B60" s="40" t="s">
        <v>22</v>
      </c>
      <c r="C60" s="40" t="s">
        <v>193</v>
      </c>
      <c r="D60" s="40"/>
      <c r="E60" s="40"/>
      <c r="F60" s="40" t="s">
        <v>197</v>
      </c>
      <c r="G60" s="40" t="s">
        <v>290</v>
      </c>
      <c r="H60" s="40" t="s">
        <v>291</v>
      </c>
      <c r="I60" s="40" t="s">
        <v>198</v>
      </c>
      <c r="J60" s="40" t="s">
        <v>28</v>
      </c>
      <c r="K60" s="40">
        <v>0.24</v>
      </c>
      <c r="L60" s="41">
        <v>46179</v>
      </c>
      <c r="M60" s="42">
        <v>0.375</v>
      </c>
      <c r="N60" s="41">
        <v>46179</v>
      </c>
      <c r="O60" s="42">
        <v>0.5</v>
      </c>
      <c r="P60" s="43">
        <v>10200</v>
      </c>
      <c r="Q60" s="43">
        <v>0</v>
      </c>
      <c r="R60" s="40" t="s">
        <v>196</v>
      </c>
      <c r="S60" s="40" t="s">
        <v>4</v>
      </c>
      <c r="T60" s="44">
        <v>1351</v>
      </c>
      <c r="U60" s="45"/>
      <c r="V60" s="44">
        <v>720</v>
      </c>
      <c r="W60" s="46">
        <v>64.8</v>
      </c>
    </row>
    <row r="61" spans="1:24" s="39" customFormat="1" ht="20.399999999999999" x14ac:dyDescent="0.2">
      <c r="A61" s="40">
        <v>56</v>
      </c>
      <c r="B61" s="40" t="s">
        <v>22</v>
      </c>
      <c r="C61" s="40" t="s">
        <v>193</v>
      </c>
      <c r="D61" s="40"/>
      <c r="E61" s="40"/>
      <c r="F61" s="40" t="s">
        <v>199</v>
      </c>
      <c r="G61" s="40" t="s">
        <v>290</v>
      </c>
      <c r="H61" s="40" t="s">
        <v>292</v>
      </c>
      <c r="I61" s="40" t="s">
        <v>200</v>
      </c>
      <c r="J61" s="40" t="s">
        <v>28</v>
      </c>
      <c r="K61" s="40">
        <v>0.64</v>
      </c>
      <c r="L61" s="41">
        <v>46180</v>
      </c>
      <c r="M61" s="42">
        <v>0.375</v>
      </c>
      <c r="N61" s="41">
        <v>46180</v>
      </c>
      <c r="O61" s="42">
        <v>0.5</v>
      </c>
      <c r="P61" s="43">
        <v>15350</v>
      </c>
      <c r="Q61" s="43">
        <v>0</v>
      </c>
      <c r="R61" s="40" t="s">
        <v>196</v>
      </c>
      <c r="S61" s="40" t="s">
        <v>4</v>
      </c>
      <c r="T61" s="44">
        <v>2600</v>
      </c>
      <c r="U61" s="45"/>
      <c r="V61" s="44">
        <v>1920</v>
      </c>
      <c r="W61" s="46">
        <v>172.79999999999998</v>
      </c>
    </row>
    <row r="62" spans="1:24" s="39" customFormat="1" ht="20.399999999999999" x14ac:dyDescent="0.2">
      <c r="A62" s="40">
        <v>57</v>
      </c>
      <c r="B62" s="40" t="s">
        <v>22</v>
      </c>
      <c r="C62" s="40" t="s">
        <v>201</v>
      </c>
      <c r="D62" s="40"/>
      <c r="E62" s="40"/>
      <c r="F62" s="40" t="s">
        <v>202</v>
      </c>
      <c r="G62" s="40" t="s">
        <v>290</v>
      </c>
      <c r="H62" s="40" t="s">
        <v>293</v>
      </c>
      <c r="I62" s="40" t="s">
        <v>203</v>
      </c>
      <c r="J62" s="40" t="s">
        <v>41</v>
      </c>
      <c r="K62" s="40">
        <v>8.5000000000000006E-2</v>
      </c>
      <c r="L62" s="41">
        <v>46172</v>
      </c>
      <c r="M62" s="42">
        <v>0.41666666666666669</v>
      </c>
      <c r="N62" s="41">
        <v>46172</v>
      </c>
      <c r="O62" s="42">
        <v>0.5</v>
      </c>
      <c r="P62" s="43">
        <v>3048.56</v>
      </c>
      <c r="Q62" s="43">
        <v>0</v>
      </c>
      <c r="R62" s="40" t="s">
        <v>196</v>
      </c>
      <c r="S62" s="40" t="s">
        <v>4</v>
      </c>
      <c r="T62" s="44">
        <v>120</v>
      </c>
      <c r="U62" s="45"/>
      <c r="V62" s="44">
        <v>169.99999999999997</v>
      </c>
      <c r="W62" s="46">
        <v>15.299999999999997</v>
      </c>
    </row>
    <row r="63" spans="1:24" s="39" customFormat="1" ht="20.399999999999999" x14ac:dyDescent="0.2">
      <c r="A63" s="40">
        <v>58</v>
      </c>
      <c r="B63" s="40" t="s">
        <v>22</v>
      </c>
      <c r="C63" s="40" t="s">
        <v>204</v>
      </c>
      <c r="D63" s="40"/>
      <c r="E63" s="40"/>
      <c r="F63" s="40" t="s">
        <v>205</v>
      </c>
      <c r="G63" s="40" t="s">
        <v>290</v>
      </c>
      <c r="H63" s="40" t="s">
        <v>294</v>
      </c>
      <c r="I63" s="40" t="s">
        <v>206</v>
      </c>
      <c r="J63" s="40" t="s">
        <v>41</v>
      </c>
      <c r="K63" s="40">
        <v>0.2</v>
      </c>
      <c r="L63" s="41">
        <v>46172</v>
      </c>
      <c r="M63" s="42">
        <v>0.375</v>
      </c>
      <c r="N63" s="41">
        <v>46172</v>
      </c>
      <c r="O63" s="42">
        <v>0.5</v>
      </c>
      <c r="P63" s="43">
        <v>2360.7800000000002</v>
      </c>
      <c r="Q63" s="43">
        <v>0</v>
      </c>
      <c r="R63" s="40" t="s">
        <v>196</v>
      </c>
      <c r="S63" s="40" t="s">
        <v>4</v>
      </c>
      <c r="T63" s="44">
        <v>600</v>
      </c>
      <c r="U63" s="45"/>
      <c r="V63" s="44">
        <v>600</v>
      </c>
      <c r="W63" s="46">
        <v>54</v>
      </c>
    </row>
    <row r="64" spans="1:24" s="39" customFormat="1" ht="20.399999999999999" x14ac:dyDescent="0.2">
      <c r="A64" s="40">
        <v>59</v>
      </c>
      <c r="B64" s="40" t="s">
        <v>22</v>
      </c>
      <c r="C64" s="40" t="s">
        <v>207</v>
      </c>
      <c r="D64" s="40"/>
      <c r="E64" s="40"/>
      <c r="F64" s="40" t="s">
        <v>208</v>
      </c>
      <c r="G64" s="40" t="s">
        <v>290</v>
      </c>
      <c r="H64" s="40" t="s">
        <v>291</v>
      </c>
      <c r="I64" s="40" t="s">
        <v>209</v>
      </c>
      <c r="J64" s="40" t="s">
        <v>34</v>
      </c>
      <c r="K64" s="40">
        <v>0.4</v>
      </c>
      <c r="L64" s="41">
        <v>46173</v>
      </c>
      <c r="M64" s="42">
        <v>0.125</v>
      </c>
      <c r="N64" s="41">
        <v>46173</v>
      </c>
      <c r="O64" s="42">
        <v>0.25</v>
      </c>
      <c r="P64" s="43">
        <v>20000</v>
      </c>
      <c r="Q64" s="43">
        <v>0</v>
      </c>
      <c r="R64" s="40"/>
      <c r="S64" s="40" t="s">
        <v>4</v>
      </c>
      <c r="T64" s="44">
        <v>930</v>
      </c>
      <c r="U64" s="45"/>
      <c r="V64" s="44">
        <v>1200</v>
      </c>
      <c r="W64" s="46">
        <v>108</v>
      </c>
    </row>
    <row r="65" spans="1:23" s="39" customFormat="1" ht="40.799999999999997" x14ac:dyDescent="0.2">
      <c r="A65" s="40">
        <v>60</v>
      </c>
      <c r="B65" s="40" t="s">
        <v>82</v>
      </c>
      <c r="C65" s="40" t="s">
        <v>210</v>
      </c>
      <c r="D65" s="40"/>
      <c r="E65" s="40"/>
      <c r="F65" s="47" t="s">
        <v>211</v>
      </c>
      <c r="G65" s="47" t="s">
        <v>85</v>
      </c>
      <c r="H65" s="47" t="s">
        <v>298</v>
      </c>
      <c r="I65" s="40" t="s">
        <v>212</v>
      </c>
      <c r="J65" s="40" t="s">
        <v>28</v>
      </c>
      <c r="K65" s="40">
        <v>0.2</v>
      </c>
      <c r="L65" s="41">
        <v>46179</v>
      </c>
      <c r="M65" s="42">
        <v>0.375</v>
      </c>
      <c r="N65" s="41">
        <v>46179</v>
      </c>
      <c r="O65" s="42">
        <v>0.5</v>
      </c>
      <c r="P65" s="43">
        <v>7600</v>
      </c>
      <c r="Q65" s="43">
        <v>0</v>
      </c>
      <c r="R65" s="40" t="s">
        <v>213</v>
      </c>
      <c r="S65" s="40" t="s">
        <v>4</v>
      </c>
      <c r="T65" s="44">
        <v>510</v>
      </c>
      <c r="U65" s="45">
        <v>510</v>
      </c>
      <c r="V65" s="44">
        <v>600</v>
      </c>
      <c r="W65" s="46">
        <v>54</v>
      </c>
    </row>
    <row r="66" spans="1:23" s="39" customFormat="1" ht="20.399999999999999" x14ac:dyDescent="0.2">
      <c r="A66" s="40">
        <v>61</v>
      </c>
      <c r="B66" s="40" t="s">
        <v>82</v>
      </c>
      <c r="C66" s="47" t="s">
        <v>214</v>
      </c>
      <c r="D66" s="40"/>
      <c r="E66" s="40"/>
      <c r="F66" s="47" t="s">
        <v>215</v>
      </c>
      <c r="G66" s="40" t="s">
        <v>85</v>
      </c>
      <c r="H66" s="47" t="s">
        <v>215</v>
      </c>
      <c r="I66" s="40" t="s">
        <v>216</v>
      </c>
      <c r="J66" s="40" t="s">
        <v>28</v>
      </c>
      <c r="K66" s="40">
        <v>1</v>
      </c>
      <c r="L66" s="41">
        <v>46172</v>
      </c>
      <c r="M66" s="42">
        <v>0.29166666666666669</v>
      </c>
      <c r="N66" s="41">
        <v>46172</v>
      </c>
      <c r="O66" s="42">
        <v>0.41666666666666669</v>
      </c>
      <c r="P66" s="43">
        <v>8700</v>
      </c>
      <c r="Q66" s="43">
        <v>1700</v>
      </c>
      <c r="R66" s="40" t="s">
        <v>213</v>
      </c>
      <c r="S66" s="40" t="s">
        <v>4</v>
      </c>
      <c r="T66" s="44">
        <v>1563</v>
      </c>
      <c r="U66" s="45">
        <v>1563</v>
      </c>
      <c r="V66" s="44">
        <v>3000</v>
      </c>
      <c r="W66" s="46">
        <v>270</v>
      </c>
    </row>
    <row r="67" spans="1:23" s="39" customFormat="1" ht="20.399999999999999" x14ac:dyDescent="0.2">
      <c r="A67" s="40">
        <v>62</v>
      </c>
      <c r="B67" s="40" t="s">
        <v>82</v>
      </c>
      <c r="C67" s="40" t="s">
        <v>217</v>
      </c>
      <c r="D67" s="40"/>
      <c r="E67" s="40"/>
      <c r="F67" s="40" t="s">
        <v>218</v>
      </c>
      <c r="G67" s="40" t="s">
        <v>85</v>
      </c>
      <c r="H67" s="47" t="s">
        <v>215</v>
      </c>
      <c r="I67" s="40" t="s">
        <v>219</v>
      </c>
      <c r="J67" s="40" t="s">
        <v>28</v>
      </c>
      <c r="K67" s="40">
        <v>0.6</v>
      </c>
      <c r="L67" s="41">
        <v>46179</v>
      </c>
      <c r="M67" s="42">
        <v>0.29166666666666669</v>
      </c>
      <c r="N67" s="41">
        <v>46179</v>
      </c>
      <c r="O67" s="42">
        <v>0.41666666666666669</v>
      </c>
      <c r="P67" s="43">
        <v>3000</v>
      </c>
      <c r="Q67" s="43">
        <v>0</v>
      </c>
      <c r="R67" s="40" t="s">
        <v>220</v>
      </c>
      <c r="S67" s="40" t="s">
        <v>4</v>
      </c>
      <c r="T67" s="44">
        <v>2909</v>
      </c>
      <c r="U67" s="45">
        <v>2909</v>
      </c>
      <c r="V67" s="44">
        <v>1800</v>
      </c>
      <c r="W67" s="46">
        <v>162</v>
      </c>
    </row>
    <row r="68" spans="1:23" s="39" customFormat="1" ht="20.399999999999999" x14ac:dyDescent="0.2">
      <c r="A68" s="40">
        <v>63</v>
      </c>
      <c r="B68" s="40" t="s">
        <v>82</v>
      </c>
      <c r="C68" s="40" t="s">
        <v>221</v>
      </c>
      <c r="D68" s="40"/>
      <c r="E68" s="40"/>
      <c r="F68" s="40" t="s">
        <v>222</v>
      </c>
      <c r="G68" s="40" t="s">
        <v>85</v>
      </c>
      <c r="H68" s="40" t="s">
        <v>297</v>
      </c>
      <c r="I68" s="40" t="s">
        <v>223</v>
      </c>
      <c r="J68" s="40" t="s">
        <v>28</v>
      </c>
      <c r="K68" s="40">
        <v>0.05</v>
      </c>
      <c r="L68" s="41">
        <v>46172</v>
      </c>
      <c r="M68" s="42">
        <v>0.33333333333333331</v>
      </c>
      <c r="N68" s="41">
        <v>46172</v>
      </c>
      <c r="O68" s="42">
        <v>0.39583333333333331</v>
      </c>
      <c r="P68" s="43">
        <v>250</v>
      </c>
      <c r="Q68" s="43">
        <v>0</v>
      </c>
      <c r="R68" s="40" t="s">
        <v>224</v>
      </c>
      <c r="S68" s="40" t="s">
        <v>4</v>
      </c>
      <c r="T68" s="44">
        <v>31</v>
      </c>
      <c r="U68" s="45">
        <v>31</v>
      </c>
      <c r="V68" s="44">
        <v>75</v>
      </c>
      <c r="W68" s="46">
        <v>6.75</v>
      </c>
    </row>
    <row r="69" spans="1:23" s="39" customFormat="1" ht="20.399999999999999" x14ac:dyDescent="0.2">
      <c r="A69" s="40">
        <v>64</v>
      </c>
      <c r="B69" s="40" t="s">
        <v>82</v>
      </c>
      <c r="C69" s="40" t="s">
        <v>221</v>
      </c>
      <c r="D69" s="40"/>
      <c r="E69" s="40"/>
      <c r="F69" s="40" t="s">
        <v>222</v>
      </c>
      <c r="G69" s="40" t="s">
        <v>85</v>
      </c>
      <c r="H69" s="40" t="s">
        <v>297</v>
      </c>
      <c r="I69" s="40" t="s">
        <v>223</v>
      </c>
      <c r="J69" s="40" t="s">
        <v>28</v>
      </c>
      <c r="K69" s="40">
        <v>0.05</v>
      </c>
      <c r="L69" s="41">
        <v>46172</v>
      </c>
      <c r="M69" s="42">
        <v>0.45833333333333331</v>
      </c>
      <c r="N69" s="41">
        <v>46172</v>
      </c>
      <c r="O69" s="42">
        <v>0.52083333333333337</v>
      </c>
      <c r="P69" s="43">
        <v>250</v>
      </c>
      <c r="Q69" s="43">
        <v>0</v>
      </c>
      <c r="R69" s="40" t="s">
        <v>224</v>
      </c>
      <c r="S69" s="40" t="s">
        <v>4</v>
      </c>
      <c r="T69" s="44">
        <v>63</v>
      </c>
      <c r="U69" s="45">
        <v>63</v>
      </c>
      <c r="V69" s="44">
        <v>75.000000000000071</v>
      </c>
      <c r="W69" s="46">
        <v>6.7500000000000062</v>
      </c>
    </row>
    <row r="70" spans="1:23" s="39" customFormat="1" ht="20.399999999999999" x14ac:dyDescent="0.2">
      <c r="A70" s="40">
        <v>65</v>
      </c>
      <c r="B70" s="40" t="s">
        <v>82</v>
      </c>
      <c r="C70" s="40" t="s">
        <v>221</v>
      </c>
      <c r="D70" s="40"/>
      <c r="E70" s="40"/>
      <c r="F70" s="40" t="s">
        <v>222</v>
      </c>
      <c r="G70" s="40" t="s">
        <v>85</v>
      </c>
      <c r="H70" s="40" t="s">
        <v>297</v>
      </c>
      <c r="I70" s="40" t="s">
        <v>223</v>
      </c>
      <c r="J70" s="40" t="s">
        <v>28</v>
      </c>
      <c r="K70" s="40">
        <v>0.05</v>
      </c>
      <c r="L70" s="41">
        <v>46172</v>
      </c>
      <c r="M70" s="42">
        <v>0.58333333333333337</v>
      </c>
      <c r="N70" s="41">
        <v>46172</v>
      </c>
      <c r="O70" s="42">
        <v>0.64583333333333337</v>
      </c>
      <c r="P70" s="43">
        <v>250</v>
      </c>
      <c r="Q70" s="43">
        <v>0</v>
      </c>
      <c r="R70" s="40" t="s">
        <v>224</v>
      </c>
      <c r="S70" s="40" t="s">
        <v>4</v>
      </c>
      <c r="T70" s="44">
        <v>1</v>
      </c>
      <c r="U70" s="45">
        <v>1</v>
      </c>
      <c r="V70" s="44">
        <v>75</v>
      </c>
      <c r="W70" s="46">
        <v>6.75</v>
      </c>
    </row>
    <row r="71" spans="1:23" s="39" customFormat="1" ht="20.399999999999999" x14ac:dyDescent="0.2">
      <c r="A71" s="40">
        <v>66</v>
      </c>
      <c r="B71" s="40" t="s">
        <v>82</v>
      </c>
      <c r="C71" s="40" t="s">
        <v>221</v>
      </c>
      <c r="D71" s="40"/>
      <c r="E71" s="40"/>
      <c r="F71" s="40" t="s">
        <v>222</v>
      </c>
      <c r="G71" s="40" t="s">
        <v>85</v>
      </c>
      <c r="H71" s="40" t="s">
        <v>297</v>
      </c>
      <c r="I71" s="40" t="s">
        <v>223</v>
      </c>
      <c r="J71" s="40" t="s">
        <v>28</v>
      </c>
      <c r="K71" s="40">
        <v>0.05</v>
      </c>
      <c r="L71" s="41">
        <v>46172</v>
      </c>
      <c r="M71" s="42">
        <v>0.64583333333333337</v>
      </c>
      <c r="N71" s="41">
        <v>46172</v>
      </c>
      <c r="O71" s="42">
        <v>0.70833333333333337</v>
      </c>
      <c r="P71" s="43">
        <v>250</v>
      </c>
      <c r="Q71" s="43">
        <v>0</v>
      </c>
      <c r="R71" s="40" t="s">
        <v>224</v>
      </c>
      <c r="S71" s="40" t="s">
        <v>4</v>
      </c>
      <c r="T71" s="44">
        <v>24</v>
      </c>
      <c r="U71" s="45">
        <v>24</v>
      </c>
      <c r="V71" s="44">
        <v>75</v>
      </c>
      <c r="W71" s="46">
        <v>6.75</v>
      </c>
    </row>
    <row r="72" spans="1:23" s="39" customFormat="1" ht="20.399999999999999" x14ac:dyDescent="0.2">
      <c r="A72" s="40">
        <v>67</v>
      </c>
      <c r="B72" s="40" t="s">
        <v>82</v>
      </c>
      <c r="C72" s="40" t="s">
        <v>221</v>
      </c>
      <c r="D72" s="40"/>
      <c r="E72" s="40"/>
      <c r="F72" s="40" t="s">
        <v>222</v>
      </c>
      <c r="G72" s="40" t="s">
        <v>85</v>
      </c>
      <c r="H72" s="40" t="s">
        <v>297</v>
      </c>
      <c r="I72" s="40" t="s">
        <v>223</v>
      </c>
      <c r="J72" s="40" t="s">
        <v>28</v>
      </c>
      <c r="K72" s="40">
        <v>0.05</v>
      </c>
      <c r="L72" s="41">
        <v>46180</v>
      </c>
      <c r="M72" s="42">
        <v>0.45833333333333331</v>
      </c>
      <c r="N72" s="41">
        <v>46180</v>
      </c>
      <c r="O72" s="42">
        <v>0.52083333333333337</v>
      </c>
      <c r="P72" s="43">
        <v>250</v>
      </c>
      <c r="Q72" s="43">
        <v>0</v>
      </c>
      <c r="R72" s="40" t="s">
        <v>224</v>
      </c>
      <c r="S72" s="40" t="s">
        <v>4</v>
      </c>
      <c r="T72" s="44">
        <v>30</v>
      </c>
      <c r="U72" s="45">
        <v>30</v>
      </c>
      <c r="V72" s="44">
        <v>75.000000000000071</v>
      </c>
      <c r="W72" s="46">
        <v>6.7500000000000062</v>
      </c>
    </row>
    <row r="73" spans="1:23" s="39" customFormat="1" ht="20.399999999999999" x14ac:dyDescent="0.2">
      <c r="A73" s="40">
        <v>68</v>
      </c>
      <c r="B73" s="40" t="s">
        <v>82</v>
      </c>
      <c r="C73" s="40" t="s">
        <v>221</v>
      </c>
      <c r="D73" s="40"/>
      <c r="E73" s="40"/>
      <c r="F73" s="40" t="s">
        <v>225</v>
      </c>
      <c r="G73" s="40" t="s">
        <v>85</v>
      </c>
      <c r="H73" s="40" t="s">
        <v>297</v>
      </c>
      <c r="I73" s="40" t="s">
        <v>226</v>
      </c>
      <c r="J73" s="40" t="s">
        <v>28</v>
      </c>
      <c r="K73" s="40">
        <v>0.05</v>
      </c>
      <c r="L73" s="41">
        <v>46180</v>
      </c>
      <c r="M73" s="42">
        <v>0.64583333333333337</v>
      </c>
      <c r="N73" s="41">
        <v>46180</v>
      </c>
      <c r="O73" s="42">
        <v>0.70833333333333337</v>
      </c>
      <c r="P73" s="43">
        <v>250</v>
      </c>
      <c r="Q73" s="43">
        <v>0</v>
      </c>
      <c r="R73" s="40" t="s">
        <v>224</v>
      </c>
      <c r="S73" s="40" t="s">
        <v>4</v>
      </c>
      <c r="T73" s="44">
        <v>130</v>
      </c>
      <c r="U73" s="45">
        <v>130</v>
      </c>
      <c r="V73" s="44">
        <v>75</v>
      </c>
      <c r="W73" s="46">
        <v>6.75</v>
      </c>
    </row>
    <row r="74" spans="1:23" s="39" customFormat="1" ht="40.799999999999997" x14ac:dyDescent="0.2">
      <c r="A74" s="40">
        <v>69</v>
      </c>
      <c r="B74" s="40" t="s">
        <v>82</v>
      </c>
      <c r="C74" s="40" t="s">
        <v>227</v>
      </c>
      <c r="D74" s="40"/>
      <c r="E74" s="40"/>
      <c r="F74" s="40" t="s">
        <v>228</v>
      </c>
      <c r="G74" s="40" t="s">
        <v>85</v>
      </c>
      <c r="H74" s="40" t="s">
        <v>297</v>
      </c>
      <c r="I74" s="40" t="s">
        <v>229</v>
      </c>
      <c r="J74" s="40" t="s">
        <v>28</v>
      </c>
      <c r="K74" s="40">
        <v>1.5</v>
      </c>
      <c r="L74" s="41">
        <v>46179</v>
      </c>
      <c r="M74" s="42">
        <v>0.375</v>
      </c>
      <c r="N74" s="41">
        <v>46179</v>
      </c>
      <c r="O74" s="42">
        <v>0.5</v>
      </c>
      <c r="P74" s="43">
        <v>16134.49</v>
      </c>
      <c r="Q74" s="43">
        <v>2063.54</v>
      </c>
      <c r="R74" s="40" t="s">
        <v>230</v>
      </c>
      <c r="S74" s="48" t="s">
        <v>4</v>
      </c>
      <c r="T74" s="44">
        <v>41</v>
      </c>
      <c r="U74" s="45">
        <v>41</v>
      </c>
      <c r="V74" s="44">
        <v>4500</v>
      </c>
      <c r="W74" s="46">
        <v>405</v>
      </c>
    </row>
    <row r="75" spans="1:23" s="39" customFormat="1" ht="30.6" x14ac:dyDescent="0.2">
      <c r="A75" s="40">
        <v>70</v>
      </c>
      <c r="B75" s="40" t="s">
        <v>82</v>
      </c>
      <c r="C75" s="40" t="s">
        <v>231</v>
      </c>
      <c r="D75" s="40"/>
      <c r="E75" s="40"/>
      <c r="F75" s="40" t="s">
        <v>232</v>
      </c>
      <c r="G75" s="40" t="s">
        <v>85</v>
      </c>
      <c r="H75" s="40" t="s">
        <v>232</v>
      </c>
      <c r="I75" s="40" t="s">
        <v>233</v>
      </c>
      <c r="J75" s="40" t="s">
        <v>28</v>
      </c>
      <c r="K75" s="40">
        <v>0.05</v>
      </c>
      <c r="L75" s="41">
        <v>46172</v>
      </c>
      <c r="M75" s="42">
        <v>0.58333333333333337</v>
      </c>
      <c r="N75" s="41">
        <v>46172</v>
      </c>
      <c r="O75" s="42">
        <v>0.70833333333333337</v>
      </c>
      <c r="P75" s="43">
        <v>3854.48</v>
      </c>
      <c r="Q75" s="43">
        <v>0</v>
      </c>
      <c r="R75" s="40" t="s">
        <v>234</v>
      </c>
      <c r="S75" s="48" t="s">
        <v>4</v>
      </c>
      <c r="T75" s="44">
        <v>64</v>
      </c>
      <c r="U75" s="45">
        <v>64</v>
      </c>
      <c r="V75" s="44">
        <v>150</v>
      </c>
      <c r="W75" s="46">
        <v>13.5</v>
      </c>
    </row>
    <row r="76" spans="1:23" s="39" customFormat="1" ht="20.399999999999999" x14ac:dyDescent="0.2">
      <c r="A76" s="40">
        <v>71</v>
      </c>
      <c r="B76" s="40" t="s">
        <v>82</v>
      </c>
      <c r="C76" s="40" t="s">
        <v>235</v>
      </c>
      <c r="D76" s="40"/>
      <c r="E76" s="40"/>
      <c r="F76" s="40" t="s">
        <v>222</v>
      </c>
      <c r="G76" s="40" t="s">
        <v>85</v>
      </c>
      <c r="H76" s="40" t="s">
        <v>297</v>
      </c>
      <c r="I76" s="40" t="s">
        <v>223</v>
      </c>
      <c r="J76" s="40" t="s">
        <v>28</v>
      </c>
      <c r="K76" s="40">
        <v>0.05</v>
      </c>
      <c r="L76" s="41">
        <v>46172</v>
      </c>
      <c r="M76" s="42">
        <v>0.39583333333333331</v>
      </c>
      <c r="N76" s="41">
        <v>46172</v>
      </c>
      <c r="O76" s="42">
        <v>0.45833333333333331</v>
      </c>
      <c r="P76" s="43">
        <v>250</v>
      </c>
      <c r="Q76" s="43">
        <v>0</v>
      </c>
      <c r="R76" s="40" t="s">
        <v>224</v>
      </c>
      <c r="S76" s="48" t="s">
        <v>4</v>
      </c>
      <c r="T76" s="44">
        <v>64</v>
      </c>
      <c r="U76" s="45">
        <v>64</v>
      </c>
      <c r="V76" s="44">
        <v>75</v>
      </c>
      <c r="W76" s="46">
        <v>6.75</v>
      </c>
    </row>
    <row r="77" spans="1:23" s="39" customFormat="1" ht="20.399999999999999" x14ac:dyDescent="0.2">
      <c r="A77" s="40">
        <v>72</v>
      </c>
      <c r="B77" s="40" t="s">
        <v>82</v>
      </c>
      <c r="C77" s="40" t="s">
        <v>236</v>
      </c>
      <c r="D77" s="40"/>
      <c r="E77" s="40"/>
      <c r="F77" s="40" t="s">
        <v>222</v>
      </c>
      <c r="G77" s="40" t="s">
        <v>85</v>
      </c>
      <c r="H77" s="40" t="s">
        <v>297</v>
      </c>
      <c r="I77" s="40" t="s">
        <v>223</v>
      </c>
      <c r="J77" s="40" t="s">
        <v>28</v>
      </c>
      <c r="K77" s="40">
        <v>0.05</v>
      </c>
      <c r="L77" s="41">
        <v>46180</v>
      </c>
      <c r="M77" s="42">
        <v>0.52083333333333337</v>
      </c>
      <c r="N77" s="41">
        <v>46180</v>
      </c>
      <c r="O77" s="42">
        <v>0.58333333333333337</v>
      </c>
      <c r="P77" s="43">
        <v>250</v>
      </c>
      <c r="Q77" s="43">
        <v>0</v>
      </c>
      <c r="R77" s="40" t="s">
        <v>224</v>
      </c>
      <c r="S77" s="48" t="s">
        <v>4</v>
      </c>
      <c r="T77" s="44">
        <v>45</v>
      </c>
      <c r="U77" s="45">
        <v>45</v>
      </c>
      <c r="V77" s="44">
        <v>75</v>
      </c>
      <c r="W77" s="46">
        <v>6.75</v>
      </c>
    </row>
    <row r="78" spans="1:23" s="39" customFormat="1" ht="20.399999999999999" x14ac:dyDescent="0.2">
      <c r="A78" s="40">
        <v>73</v>
      </c>
      <c r="B78" s="40" t="s">
        <v>82</v>
      </c>
      <c r="C78" s="40" t="s">
        <v>237</v>
      </c>
      <c r="D78" s="40"/>
      <c r="E78" s="40"/>
      <c r="F78" s="40" t="s">
        <v>225</v>
      </c>
      <c r="G78" s="40" t="s">
        <v>85</v>
      </c>
      <c r="H78" s="40" t="s">
        <v>297</v>
      </c>
      <c r="I78" s="40" t="s">
        <v>226</v>
      </c>
      <c r="J78" s="40" t="s">
        <v>28</v>
      </c>
      <c r="K78" s="40">
        <v>0.05</v>
      </c>
      <c r="L78" s="41">
        <v>46180</v>
      </c>
      <c r="M78" s="42">
        <v>0.39583333333333331</v>
      </c>
      <c r="N78" s="41">
        <v>46180</v>
      </c>
      <c r="O78" s="42">
        <v>0.45833333333333331</v>
      </c>
      <c r="P78" s="43">
        <v>100</v>
      </c>
      <c r="Q78" s="43">
        <v>0</v>
      </c>
      <c r="R78" s="40" t="s">
        <v>224</v>
      </c>
      <c r="S78" s="48" t="s">
        <v>4</v>
      </c>
      <c r="T78" s="44">
        <v>32</v>
      </c>
      <c r="U78" s="45">
        <v>32</v>
      </c>
      <c r="V78" s="44">
        <v>75</v>
      </c>
      <c r="W78" s="46">
        <v>6.75</v>
      </c>
    </row>
    <row r="79" spans="1:23" s="39" customFormat="1" ht="20.399999999999999" x14ac:dyDescent="0.2">
      <c r="A79" s="40">
        <v>74</v>
      </c>
      <c r="B79" s="40" t="s">
        <v>82</v>
      </c>
      <c r="C79" s="40" t="s">
        <v>238</v>
      </c>
      <c r="D79" s="40"/>
      <c r="E79" s="40"/>
      <c r="F79" s="40" t="s">
        <v>225</v>
      </c>
      <c r="G79" s="40" t="s">
        <v>85</v>
      </c>
      <c r="H79" s="40" t="s">
        <v>297</v>
      </c>
      <c r="I79" s="40" t="s">
        <v>226</v>
      </c>
      <c r="J79" s="40" t="s">
        <v>28</v>
      </c>
      <c r="K79" s="40">
        <v>0.05</v>
      </c>
      <c r="L79" s="41">
        <v>46180</v>
      </c>
      <c r="M79" s="42">
        <v>0.33333333333333331</v>
      </c>
      <c r="N79" s="41">
        <v>46180</v>
      </c>
      <c r="O79" s="42">
        <v>0.39583333333333331</v>
      </c>
      <c r="P79" s="43">
        <v>250</v>
      </c>
      <c r="Q79" s="43">
        <v>0</v>
      </c>
      <c r="R79" s="40" t="s">
        <v>224</v>
      </c>
      <c r="S79" s="48" t="s">
        <v>4</v>
      </c>
      <c r="T79" s="44">
        <v>14</v>
      </c>
      <c r="U79" s="45">
        <v>14</v>
      </c>
      <c r="V79" s="44">
        <v>75</v>
      </c>
      <c r="W79" s="46">
        <v>6.75</v>
      </c>
    </row>
    <row r="80" spans="1:23" s="39" customFormat="1" ht="20.399999999999999" x14ac:dyDescent="0.2">
      <c r="A80" s="40">
        <v>75</v>
      </c>
      <c r="B80" s="40" t="s">
        <v>82</v>
      </c>
      <c r="C80" s="40" t="s">
        <v>239</v>
      </c>
      <c r="D80" s="40"/>
      <c r="E80" s="40"/>
      <c r="F80" s="40" t="s">
        <v>225</v>
      </c>
      <c r="G80" s="40" t="s">
        <v>85</v>
      </c>
      <c r="H80" s="40" t="s">
        <v>297</v>
      </c>
      <c r="I80" s="40" t="s">
        <v>226</v>
      </c>
      <c r="J80" s="40" t="s">
        <v>28</v>
      </c>
      <c r="K80" s="40">
        <v>0.05</v>
      </c>
      <c r="L80" s="41">
        <v>46179</v>
      </c>
      <c r="M80" s="42">
        <v>0.39583333333333331</v>
      </c>
      <c r="N80" s="41">
        <v>46179</v>
      </c>
      <c r="O80" s="42">
        <v>0.45833333333333331</v>
      </c>
      <c r="P80" s="43">
        <v>80</v>
      </c>
      <c r="Q80" s="43">
        <v>0</v>
      </c>
      <c r="R80" s="40" t="s">
        <v>224</v>
      </c>
      <c r="S80" s="48" t="s">
        <v>4</v>
      </c>
      <c r="T80" s="44">
        <v>87</v>
      </c>
      <c r="U80" s="45">
        <v>87</v>
      </c>
      <c r="V80" s="44">
        <v>75</v>
      </c>
      <c r="W80" s="46">
        <v>6.75</v>
      </c>
    </row>
    <row r="81" spans="1:24" s="39" customFormat="1" ht="20.399999999999999" x14ac:dyDescent="0.2">
      <c r="A81" s="40">
        <v>76</v>
      </c>
      <c r="B81" s="40" t="s">
        <v>82</v>
      </c>
      <c r="C81" s="40" t="s">
        <v>239</v>
      </c>
      <c r="D81" s="40"/>
      <c r="E81" s="40"/>
      <c r="F81" s="40" t="s">
        <v>225</v>
      </c>
      <c r="G81" s="40" t="s">
        <v>85</v>
      </c>
      <c r="H81" s="40" t="s">
        <v>297</v>
      </c>
      <c r="I81" s="40" t="s">
        <v>226</v>
      </c>
      <c r="J81" s="40" t="s">
        <v>28</v>
      </c>
      <c r="K81" s="40">
        <v>0.05</v>
      </c>
      <c r="L81" s="41">
        <v>46179</v>
      </c>
      <c r="M81" s="42">
        <v>0.45833333333333331</v>
      </c>
      <c r="N81" s="41">
        <v>46179</v>
      </c>
      <c r="O81" s="42">
        <v>0.52083333333333337</v>
      </c>
      <c r="P81" s="43">
        <v>80</v>
      </c>
      <c r="Q81" s="43">
        <v>0</v>
      </c>
      <c r="R81" s="40" t="s">
        <v>224</v>
      </c>
      <c r="S81" s="48" t="s">
        <v>4</v>
      </c>
      <c r="T81" s="44">
        <v>25</v>
      </c>
      <c r="U81" s="45">
        <v>25</v>
      </c>
      <c r="V81" s="44">
        <v>75.000000000000071</v>
      </c>
      <c r="W81" s="46">
        <v>6.7500000000000062</v>
      </c>
    </row>
    <row r="82" spans="1:24" s="39" customFormat="1" ht="20.399999999999999" x14ac:dyDescent="0.2">
      <c r="A82" s="40">
        <v>77</v>
      </c>
      <c r="B82" s="40" t="s">
        <v>82</v>
      </c>
      <c r="C82" s="40" t="s">
        <v>240</v>
      </c>
      <c r="D82" s="40"/>
      <c r="E82" s="40"/>
      <c r="F82" s="40" t="s">
        <v>225</v>
      </c>
      <c r="G82" s="40" t="s">
        <v>85</v>
      </c>
      <c r="H82" s="40" t="s">
        <v>297</v>
      </c>
      <c r="I82" s="40" t="s">
        <v>226</v>
      </c>
      <c r="J82" s="40" t="s">
        <v>28</v>
      </c>
      <c r="K82" s="40">
        <v>0.05</v>
      </c>
      <c r="L82" s="41">
        <v>46180</v>
      </c>
      <c r="M82" s="42">
        <v>0.58333333333333337</v>
      </c>
      <c r="N82" s="41">
        <v>46180</v>
      </c>
      <c r="O82" s="42">
        <v>0.64583333333333337</v>
      </c>
      <c r="P82" s="43">
        <v>250</v>
      </c>
      <c r="Q82" s="43">
        <v>0</v>
      </c>
      <c r="R82" s="40" t="s">
        <v>224</v>
      </c>
      <c r="S82" s="48" t="s">
        <v>4</v>
      </c>
      <c r="T82" s="44">
        <v>97</v>
      </c>
      <c r="U82" s="45">
        <v>97</v>
      </c>
      <c r="V82" s="44">
        <v>75</v>
      </c>
      <c r="W82" s="46">
        <v>6.75</v>
      </c>
    </row>
    <row r="83" spans="1:24" s="39" customFormat="1" ht="20.399999999999999" x14ac:dyDescent="0.2">
      <c r="A83" s="40">
        <v>78</v>
      </c>
      <c r="B83" s="40" t="s">
        <v>82</v>
      </c>
      <c r="C83" s="40" t="s">
        <v>241</v>
      </c>
      <c r="D83" s="40"/>
      <c r="E83" s="40"/>
      <c r="F83" s="40" t="s">
        <v>222</v>
      </c>
      <c r="G83" s="40" t="s">
        <v>85</v>
      </c>
      <c r="H83" s="40" t="s">
        <v>297</v>
      </c>
      <c r="I83" s="40" t="s">
        <v>223</v>
      </c>
      <c r="J83" s="40" t="s">
        <v>28</v>
      </c>
      <c r="K83" s="40">
        <v>0.05</v>
      </c>
      <c r="L83" s="41">
        <v>46172</v>
      </c>
      <c r="M83" s="42">
        <v>0.52083333333333337</v>
      </c>
      <c r="N83" s="41">
        <v>46172</v>
      </c>
      <c r="O83" s="42">
        <v>0.58333333333333337</v>
      </c>
      <c r="P83" s="43">
        <v>250</v>
      </c>
      <c r="Q83" s="43">
        <v>0</v>
      </c>
      <c r="R83" s="40" t="s">
        <v>224</v>
      </c>
      <c r="S83" s="48" t="s">
        <v>4</v>
      </c>
      <c r="T83" s="44">
        <v>24</v>
      </c>
      <c r="U83" s="45">
        <v>24</v>
      </c>
      <c r="V83" s="44">
        <v>75</v>
      </c>
      <c r="W83" s="46">
        <v>6.75</v>
      </c>
    </row>
    <row r="84" spans="1:24" s="39" customFormat="1" ht="20.399999999999999" x14ac:dyDescent="0.2">
      <c r="A84" s="40">
        <v>79</v>
      </c>
      <c r="B84" s="40" t="s">
        <v>82</v>
      </c>
      <c r="C84" s="40" t="s">
        <v>242</v>
      </c>
      <c r="D84" s="40"/>
      <c r="E84" s="40"/>
      <c r="F84" s="40" t="s">
        <v>225</v>
      </c>
      <c r="G84" s="40" t="s">
        <v>85</v>
      </c>
      <c r="H84" s="40" t="s">
        <v>297</v>
      </c>
      <c r="I84" s="40" t="s">
        <v>226</v>
      </c>
      <c r="J84" s="40" t="s">
        <v>28</v>
      </c>
      <c r="K84" s="40">
        <v>0.05</v>
      </c>
      <c r="L84" s="41">
        <v>46179</v>
      </c>
      <c r="M84" s="42">
        <v>0.58333333333333337</v>
      </c>
      <c r="N84" s="41">
        <v>46179</v>
      </c>
      <c r="O84" s="42">
        <v>0.64583333333333337</v>
      </c>
      <c r="P84" s="43">
        <v>250</v>
      </c>
      <c r="Q84" s="43">
        <v>0</v>
      </c>
      <c r="R84" s="40" t="s">
        <v>224</v>
      </c>
      <c r="S84" s="48" t="s">
        <v>4</v>
      </c>
      <c r="T84" s="44">
        <v>24</v>
      </c>
      <c r="U84" s="45">
        <v>24</v>
      </c>
      <c r="V84" s="44">
        <v>75</v>
      </c>
      <c r="W84" s="46">
        <v>6.75</v>
      </c>
    </row>
    <row r="85" spans="1:24" s="39" customFormat="1" ht="20.399999999999999" x14ac:dyDescent="0.2">
      <c r="A85" s="40">
        <v>80</v>
      </c>
      <c r="B85" s="40" t="s">
        <v>82</v>
      </c>
      <c r="C85" s="40" t="s">
        <v>243</v>
      </c>
      <c r="D85" s="40"/>
      <c r="E85" s="40"/>
      <c r="F85" s="40" t="s">
        <v>225</v>
      </c>
      <c r="G85" s="40" t="s">
        <v>85</v>
      </c>
      <c r="H85" s="40" t="s">
        <v>297</v>
      </c>
      <c r="I85" s="40" t="s">
        <v>226</v>
      </c>
      <c r="J85" s="40" t="s">
        <v>28</v>
      </c>
      <c r="K85" s="40">
        <v>0.05</v>
      </c>
      <c r="L85" s="41">
        <v>46179</v>
      </c>
      <c r="M85" s="42">
        <v>0.33333333333333331</v>
      </c>
      <c r="N85" s="41">
        <v>46179</v>
      </c>
      <c r="O85" s="42">
        <v>0.39583333333333331</v>
      </c>
      <c r="P85" s="43">
        <v>200</v>
      </c>
      <c r="Q85" s="43">
        <v>0</v>
      </c>
      <c r="R85" s="40" t="s">
        <v>224</v>
      </c>
      <c r="S85" s="48" t="s">
        <v>4</v>
      </c>
      <c r="T85" s="44">
        <v>72</v>
      </c>
      <c r="U85" s="45">
        <v>72</v>
      </c>
      <c r="V85" s="44">
        <v>75</v>
      </c>
      <c r="W85" s="46">
        <v>6.75</v>
      </c>
    </row>
    <row r="86" spans="1:24" s="39" customFormat="1" ht="20.399999999999999" x14ac:dyDescent="0.2">
      <c r="A86" s="40">
        <v>81</v>
      </c>
      <c r="B86" s="40" t="s">
        <v>82</v>
      </c>
      <c r="C86" s="40" t="s">
        <v>243</v>
      </c>
      <c r="D86" s="40"/>
      <c r="E86" s="40"/>
      <c r="F86" s="40" t="s">
        <v>225</v>
      </c>
      <c r="G86" s="40" t="s">
        <v>85</v>
      </c>
      <c r="H86" s="40" t="s">
        <v>297</v>
      </c>
      <c r="I86" s="40" t="s">
        <v>226</v>
      </c>
      <c r="J86" s="40" t="s">
        <v>28</v>
      </c>
      <c r="K86" s="40">
        <v>0.05</v>
      </c>
      <c r="L86" s="41">
        <v>46179</v>
      </c>
      <c r="M86" s="42">
        <v>0.64583333333333337</v>
      </c>
      <c r="N86" s="41">
        <v>46179</v>
      </c>
      <c r="O86" s="42">
        <v>0.70833333333333337</v>
      </c>
      <c r="P86" s="43">
        <v>250</v>
      </c>
      <c r="Q86" s="43">
        <v>0</v>
      </c>
      <c r="R86" s="40" t="s">
        <v>224</v>
      </c>
      <c r="S86" s="48" t="s">
        <v>4</v>
      </c>
      <c r="T86" s="44">
        <v>26</v>
      </c>
      <c r="U86" s="45">
        <v>26</v>
      </c>
      <c r="V86" s="44">
        <v>75</v>
      </c>
      <c r="W86" s="46">
        <v>6.75</v>
      </c>
    </row>
    <row r="87" spans="1:24" s="39" customFormat="1" ht="40.799999999999997" x14ac:dyDescent="0.2">
      <c r="A87" s="40">
        <v>82</v>
      </c>
      <c r="B87" s="40" t="s">
        <v>142</v>
      </c>
      <c r="C87" s="40" t="s">
        <v>248</v>
      </c>
      <c r="D87" s="40"/>
      <c r="E87" s="40"/>
      <c r="F87" s="40" t="s">
        <v>249</v>
      </c>
      <c r="G87" s="40" t="s">
        <v>145</v>
      </c>
      <c r="H87" s="40" t="s">
        <v>295</v>
      </c>
      <c r="I87" s="40" t="s">
        <v>250</v>
      </c>
      <c r="J87" s="40" t="s">
        <v>251</v>
      </c>
      <c r="K87" s="40">
        <v>0.6</v>
      </c>
      <c r="L87" s="41">
        <v>46172</v>
      </c>
      <c r="M87" s="42">
        <v>0.58333333333333337</v>
      </c>
      <c r="N87" s="41">
        <v>46172</v>
      </c>
      <c r="O87" s="42">
        <v>0.70833333333333337</v>
      </c>
      <c r="P87" s="49">
        <v>290410.31</v>
      </c>
      <c r="Q87" s="43">
        <v>0</v>
      </c>
      <c r="R87" s="40" t="s">
        <v>148</v>
      </c>
      <c r="S87" s="40" t="s">
        <v>4</v>
      </c>
      <c r="T87" s="44">
        <v>1285</v>
      </c>
      <c r="U87" s="45">
        <v>1285</v>
      </c>
      <c r="V87" s="44">
        <v>1800</v>
      </c>
      <c r="W87" s="46">
        <v>162</v>
      </c>
    </row>
    <row r="88" spans="1:24" s="39" customFormat="1" ht="40.799999999999997" x14ac:dyDescent="0.2">
      <c r="A88" s="40">
        <v>83</v>
      </c>
      <c r="B88" s="40" t="s">
        <v>142</v>
      </c>
      <c r="C88" s="40" t="s">
        <v>248</v>
      </c>
      <c r="D88" s="40"/>
      <c r="E88" s="40"/>
      <c r="F88" s="40" t="s">
        <v>249</v>
      </c>
      <c r="G88" s="40" t="s">
        <v>145</v>
      </c>
      <c r="H88" s="40" t="s">
        <v>295</v>
      </c>
      <c r="I88" s="40" t="s">
        <v>250</v>
      </c>
      <c r="J88" s="40" t="s">
        <v>251</v>
      </c>
      <c r="K88" s="40">
        <v>0.6</v>
      </c>
      <c r="L88" s="41">
        <v>46173</v>
      </c>
      <c r="M88" s="42">
        <v>0.58333333333333337</v>
      </c>
      <c r="N88" s="41">
        <v>46173</v>
      </c>
      <c r="O88" s="42">
        <v>0.70833333333333337</v>
      </c>
      <c r="P88" s="49">
        <v>290410.31</v>
      </c>
      <c r="Q88" s="43">
        <v>0</v>
      </c>
      <c r="R88" s="40" t="s">
        <v>148</v>
      </c>
      <c r="S88" s="40" t="s">
        <v>4</v>
      </c>
      <c r="T88" s="44">
        <v>1285</v>
      </c>
      <c r="U88" s="45">
        <v>1285</v>
      </c>
      <c r="V88" s="44">
        <v>1800</v>
      </c>
      <c r="W88" s="46">
        <v>162</v>
      </c>
    </row>
    <row r="89" spans="1:24" s="39" customFormat="1" ht="40.799999999999997" x14ac:dyDescent="0.2">
      <c r="A89" s="40">
        <v>84</v>
      </c>
      <c r="B89" s="40" t="s">
        <v>142</v>
      </c>
      <c r="C89" s="40" t="s">
        <v>248</v>
      </c>
      <c r="D89" s="40"/>
      <c r="E89" s="40"/>
      <c r="F89" s="40" t="s">
        <v>252</v>
      </c>
      <c r="G89" s="40" t="s">
        <v>145</v>
      </c>
      <c r="H89" s="40" t="s">
        <v>295</v>
      </c>
      <c r="I89" s="40" t="s">
        <v>253</v>
      </c>
      <c r="J89" s="40" t="s">
        <v>251</v>
      </c>
      <c r="K89" s="40">
        <v>1.2</v>
      </c>
      <c r="L89" s="41">
        <v>46179</v>
      </c>
      <c r="M89" s="42">
        <v>0.58333333333333337</v>
      </c>
      <c r="N89" s="41">
        <v>46179</v>
      </c>
      <c r="O89" s="42">
        <v>0.70833333333333337</v>
      </c>
      <c r="P89" s="49">
        <v>290410.31</v>
      </c>
      <c r="Q89" s="43">
        <v>0</v>
      </c>
      <c r="R89" s="40" t="s">
        <v>148</v>
      </c>
      <c r="S89" s="40" t="s">
        <v>4</v>
      </c>
      <c r="T89" s="44">
        <v>1623</v>
      </c>
      <c r="U89" s="45">
        <v>1623</v>
      </c>
      <c r="V89" s="44">
        <v>3600</v>
      </c>
      <c r="W89" s="46">
        <v>324</v>
      </c>
    </row>
    <row r="90" spans="1:24" s="39" customFormat="1" ht="40.799999999999997" x14ac:dyDescent="0.2">
      <c r="A90" s="40">
        <v>85</v>
      </c>
      <c r="B90" s="40" t="s">
        <v>142</v>
      </c>
      <c r="C90" s="40" t="s">
        <v>248</v>
      </c>
      <c r="D90" s="40"/>
      <c r="E90" s="40"/>
      <c r="F90" s="40" t="s">
        <v>252</v>
      </c>
      <c r="G90" s="40" t="s">
        <v>145</v>
      </c>
      <c r="H90" s="40" t="s">
        <v>295</v>
      </c>
      <c r="I90" s="40" t="s">
        <v>253</v>
      </c>
      <c r="J90" s="40" t="s">
        <v>251</v>
      </c>
      <c r="K90" s="40">
        <v>1.2</v>
      </c>
      <c r="L90" s="41">
        <v>46180</v>
      </c>
      <c r="M90" s="42">
        <v>0.58333333333333337</v>
      </c>
      <c r="N90" s="41">
        <v>46180</v>
      </c>
      <c r="O90" s="42">
        <v>0.70833333333333337</v>
      </c>
      <c r="P90" s="49">
        <v>290410.31</v>
      </c>
      <c r="Q90" s="43">
        <v>0</v>
      </c>
      <c r="R90" s="40" t="s">
        <v>148</v>
      </c>
      <c r="S90" s="40" t="s">
        <v>4</v>
      </c>
      <c r="T90" s="44">
        <v>1623</v>
      </c>
      <c r="U90" s="45">
        <v>1623</v>
      </c>
      <c r="V90" s="44">
        <v>3600</v>
      </c>
      <c r="W90" s="46">
        <v>324</v>
      </c>
    </row>
    <row r="91" spans="1:24" s="39" customFormat="1" ht="30.6" x14ac:dyDescent="0.2">
      <c r="A91" s="40">
        <v>86</v>
      </c>
      <c r="B91" s="40" t="s">
        <v>254</v>
      </c>
      <c r="C91" s="40" t="s">
        <v>255</v>
      </c>
      <c r="D91" s="50"/>
      <c r="E91" s="40"/>
      <c r="F91" s="40" t="s">
        <v>256</v>
      </c>
      <c r="G91" s="40" t="s">
        <v>59</v>
      </c>
      <c r="H91" s="40" t="s">
        <v>265</v>
      </c>
      <c r="I91" s="40" t="s">
        <v>257</v>
      </c>
      <c r="J91" s="40" t="s">
        <v>28</v>
      </c>
      <c r="K91" s="51">
        <v>0.25</v>
      </c>
      <c r="L91" s="41">
        <v>46173</v>
      </c>
      <c r="M91" s="42">
        <v>8.3333333333333329E-2</v>
      </c>
      <c r="N91" s="41">
        <v>46173</v>
      </c>
      <c r="O91" s="42">
        <v>0.20833333333333334</v>
      </c>
      <c r="P91" s="43">
        <v>5200</v>
      </c>
      <c r="Q91" s="52">
        <v>22699.16</v>
      </c>
      <c r="R91" s="40" t="s">
        <v>148</v>
      </c>
      <c r="S91" s="40" t="s">
        <v>4</v>
      </c>
      <c r="T91" s="44">
        <v>150</v>
      </c>
      <c r="U91" s="45">
        <v>309</v>
      </c>
      <c r="V91" s="44">
        <v>750</v>
      </c>
      <c r="W91" s="46">
        <v>67.5</v>
      </c>
    </row>
    <row r="92" spans="1:24" s="39" customFormat="1" ht="30.6" x14ac:dyDescent="0.2">
      <c r="A92" s="40">
        <v>87</v>
      </c>
      <c r="B92" s="40" t="s">
        <v>254</v>
      </c>
      <c r="C92" s="40" t="s">
        <v>255</v>
      </c>
      <c r="D92" s="40"/>
      <c r="E92" s="40"/>
      <c r="F92" s="40" t="s">
        <v>258</v>
      </c>
      <c r="G92" s="40" t="s">
        <v>59</v>
      </c>
      <c r="H92" s="40" t="s">
        <v>265</v>
      </c>
      <c r="I92" s="40" t="s">
        <v>259</v>
      </c>
      <c r="J92" s="40" t="s">
        <v>28</v>
      </c>
      <c r="K92" s="51">
        <v>0.16700000000000001</v>
      </c>
      <c r="L92" s="41">
        <v>46173</v>
      </c>
      <c r="M92" s="42">
        <v>8.3333333333333329E-2</v>
      </c>
      <c r="N92" s="41">
        <v>46173</v>
      </c>
      <c r="O92" s="42">
        <v>0.20833333333333334</v>
      </c>
      <c r="P92" s="43">
        <v>5100</v>
      </c>
      <c r="Q92" s="52">
        <v>22699.16</v>
      </c>
      <c r="R92" s="40" t="s">
        <v>148</v>
      </c>
      <c r="S92" s="40" t="s">
        <v>4</v>
      </c>
      <c r="T92" s="44">
        <v>150</v>
      </c>
      <c r="U92" s="45">
        <v>659</v>
      </c>
      <c r="V92" s="44">
        <v>501</v>
      </c>
      <c r="W92" s="46">
        <v>45.089999999999996</v>
      </c>
    </row>
    <row r="93" spans="1:24" s="39" customFormat="1" ht="30.6" x14ac:dyDescent="0.2">
      <c r="A93" s="40">
        <v>88</v>
      </c>
      <c r="B93" s="40" t="s">
        <v>254</v>
      </c>
      <c r="C93" s="40" t="s">
        <v>255</v>
      </c>
      <c r="D93" s="50"/>
      <c r="E93" s="40"/>
      <c r="F93" s="40" t="s">
        <v>260</v>
      </c>
      <c r="G93" s="40" t="s">
        <v>59</v>
      </c>
      <c r="H93" s="40" t="s">
        <v>265</v>
      </c>
      <c r="I93" s="40" t="s">
        <v>261</v>
      </c>
      <c r="J93" s="40" t="s">
        <v>28</v>
      </c>
      <c r="K93" s="51">
        <v>0.16700000000000001</v>
      </c>
      <c r="L93" s="41">
        <v>46173</v>
      </c>
      <c r="M93" s="42">
        <v>8.3333333333333329E-2</v>
      </c>
      <c r="N93" s="41">
        <v>46173</v>
      </c>
      <c r="O93" s="42">
        <v>0.20833333333333334</v>
      </c>
      <c r="P93" s="43">
        <v>4950</v>
      </c>
      <c r="Q93" s="52">
        <v>22699.16</v>
      </c>
      <c r="R93" s="40" t="s">
        <v>148</v>
      </c>
      <c r="S93" s="40" t="s">
        <v>4</v>
      </c>
      <c r="T93" s="44">
        <v>150</v>
      </c>
      <c r="U93" s="53">
        <v>518</v>
      </c>
      <c r="V93" s="44">
        <v>501</v>
      </c>
      <c r="W93" s="46">
        <v>45.089999999999996</v>
      </c>
    </row>
    <row r="94" spans="1:24" s="39" customFormat="1" ht="39" customHeight="1" x14ac:dyDescent="0.2">
      <c r="A94" s="40">
        <v>89</v>
      </c>
      <c r="B94" s="40" t="s">
        <v>100</v>
      </c>
      <c r="C94" s="40" t="s">
        <v>262</v>
      </c>
      <c r="D94" s="40"/>
      <c r="E94" s="40" t="s">
        <v>263</v>
      </c>
      <c r="F94" s="40"/>
      <c r="G94" s="40" t="s">
        <v>45</v>
      </c>
      <c r="H94" s="40" t="s">
        <v>296</v>
      </c>
      <c r="I94" s="40" t="s">
        <v>264</v>
      </c>
      <c r="J94" s="40" t="s">
        <v>41</v>
      </c>
      <c r="K94" s="40">
        <v>3</v>
      </c>
      <c r="L94" s="41">
        <v>46179</v>
      </c>
      <c r="M94" s="42">
        <v>0.25</v>
      </c>
      <c r="N94" s="41">
        <v>46179</v>
      </c>
      <c r="O94" s="42">
        <v>0.35416666666666669</v>
      </c>
      <c r="P94" s="43">
        <v>3665.24</v>
      </c>
      <c r="Q94" s="43">
        <v>0</v>
      </c>
      <c r="R94" s="40" t="s">
        <v>112</v>
      </c>
      <c r="S94" s="48" t="s">
        <v>29</v>
      </c>
      <c r="T94" s="44">
        <v>11009</v>
      </c>
      <c r="U94" s="45">
        <v>11009</v>
      </c>
      <c r="V94" s="44">
        <v>7500.0000000000009</v>
      </c>
      <c r="W94" s="46">
        <v>675.00000000000011</v>
      </c>
    </row>
    <row r="95" spans="1:24" s="39" customFormat="1" ht="27" customHeight="1" x14ac:dyDescent="0.2">
      <c r="A95" s="40">
        <v>90</v>
      </c>
      <c r="B95" s="40" t="s">
        <v>35</v>
      </c>
      <c r="C95" s="40" t="s">
        <v>266</v>
      </c>
      <c r="D95" s="40"/>
      <c r="E95" s="40"/>
      <c r="F95" s="40" t="s">
        <v>267</v>
      </c>
      <c r="G95" s="40" t="s">
        <v>38</v>
      </c>
      <c r="H95" s="40" t="s">
        <v>136</v>
      </c>
      <c r="I95" s="40" t="s">
        <v>268</v>
      </c>
      <c r="J95" s="40" t="s">
        <v>28</v>
      </c>
      <c r="K95" s="40">
        <v>0.3</v>
      </c>
      <c r="L95" s="41">
        <v>46180</v>
      </c>
      <c r="M95" s="42">
        <v>0.33333333333333331</v>
      </c>
      <c r="N95" s="41">
        <v>46180</v>
      </c>
      <c r="O95" s="42">
        <v>0.45833333333333331</v>
      </c>
      <c r="P95" s="43">
        <v>2345</v>
      </c>
      <c r="Q95" s="43">
        <v>0</v>
      </c>
      <c r="R95" s="40" t="s">
        <v>269</v>
      </c>
      <c r="S95" s="48" t="s">
        <v>4</v>
      </c>
      <c r="T95" s="44">
        <v>932</v>
      </c>
      <c r="U95" s="45">
        <v>932</v>
      </c>
      <c r="V95" s="44">
        <v>900</v>
      </c>
      <c r="W95" s="46">
        <v>81</v>
      </c>
      <c r="X95" s="54"/>
    </row>
    <row r="96" spans="1:24" s="39" customFormat="1" ht="31.5" customHeight="1" x14ac:dyDescent="0.2">
      <c r="A96" s="40">
        <v>91</v>
      </c>
      <c r="B96" s="40" t="s">
        <v>35</v>
      </c>
      <c r="C96" s="40" t="s">
        <v>266</v>
      </c>
      <c r="D96" s="40"/>
      <c r="E96" s="40"/>
      <c r="F96" s="40" t="s">
        <v>270</v>
      </c>
      <c r="G96" s="40" t="s">
        <v>38</v>
      </c>
      <c r="H96" s="40" t="s">
        <v>136</v>
      </c>
      <c r="I96" s="40" t="s">
        <v>271</v>
      </c>
      <c r="J96" s="40" t="s">
        <v>28</v>
      </c>
      <c r="K96" s="40">
        <v>0.4</v>
      </c>
      <c r="L96" s="41">
        <v>46180</v>
      </c>
      <c r="M96" s="42">
        <v>0.33333333333333331</v>
      </c>
      <c r="N96" s="41">
        <v>46180</v>
      </c>
      <c r="O96" s="42">
        <v>0.45833333333333331</v>
      </c>
      <c r="P96" s="43">
        <v>500</v>
      </c>
      <c r="Q96" s="43">
        <v>0</v>
      </c>
      <c r="R96" s="40" t="s">
        <v>269</v>
      </c>
      <c r="S96" s="48" t="s">
        <v>4</v>
      </c>
      <c r="T96" s="44">
        <v>356</v>
      </c>
      <c r="U96" s="45">
        <v>356</v>
      </c>
      <c r="V96" s="44">
        <v>1200</v>
      </c>
      <c r="W96" s="46">
        <v>108</v>
      </c>
      <c r="X96" s="54"/>
    </row>
  </sheetData>
  <mergeCells count="2">
    <mergeCell ref="B1:W1"/>
    <mergeCell ref="G3:H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MELISSA DOYLET PARRA</dc:creator>
  <cp:lastModifiedBy>JOSE ROBERTO CAJAS GONZALEZ</cp:lastModifiedBy>
  <dcterms:created xsi:type="dcterms:W3CDTF">2026-05-21T15:29:53Z</dcterms:created>
  <dcterms:modified xsi:type="dcterms:W3CDTF">2026-05-22T23:07:45Z</dcterms:modified>
</cp:coreProperties>
</file>